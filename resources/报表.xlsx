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月报表"/>
    <sheet r:id="rId2" sheetId="2" name="我欠外面的钱"/>
    <sheet r:id="rId3" sheetId="3" name="客户欠我的钱"/>
  </sheets>
  <calcPr fullCalcOnLoad="1"/>
</workbook>
</file>

<file path=xl/sharedStrings.xml><?xml version="1.0" encoding="utf-8"?>
<sst xmlns="http://schemas.openxmlformats.org/spreadsheetml/2006/main" count="600" uniqueCount="265">
  <si>
    <t>以下就是客户欠我的钱</t>
  </si>
  <si>
    <t>每个客户都有单独的一列</t>
  </si>
  <si>
    <t>SHA-FRA</t>
  </si>
  <si>
    <t>781-2750729409-13</t>
  </si>
  <si>
    <t>扬州邓</t>
  </si>
  <si>
    <t>781-2750729379 没使用</t>
  </si>
  <si>
    <t xml:space="preserve"> </t>
  </si>
  <si>
    <t>MUC-BCN</t>
  </si>
  <si>
    <t>220-2750517203-07</t>
  </si>
  <si>
    <t>220-2698332903 没使用</t>
  </si>
  <si>
    <t>MAD-DOH-SHA</t>
  </si>
  <si>
    <t>157-2750517311-15</t>
  </si>
  <si>
    <t>NKG-PEK-BCN</t>
  </si>
  <si>
    <t>999-2750729380</t>
  </si>
  <si>
    <t>扬州孙</t>
  </si>
  <si>
    <t>NKG-PEK-MAD/BCN-NKG</t>
  </si>
  <si>
    <t xml:space="preserve"> 999-2752196760</t>
  </si>
  <si>
    <t>157-2750517316</t>
  </si>
  <si>
    <t>签证</t>
  </si>
  <si>
    <t xml:space="preserve">PEK-PAR </t>
  </si>
  <si>
    <t>999-2698332806-07</t>
  </si>
  <si>
    <t>999-2698332806-07 REF</t>
  </si>
  <si>
    <t>SHA-SIN/KUL-SHA</t>
  </si>
  <si>
    <t>781-2752196665-71</t>
  </si>
  <si>
    <t>扬州倪</t>
  </si>
  <si>
    <t xml:space="preserve">SHA-SIN </t>
  </si>
  <si>
    <t>781-2752196672</t>
  </si>
  <si>
    <t>SIN-SZX</t>
  </si>
  <si>
    <t>479-2750517277 没使用</t>
  </si>
  <si>
    <t>SIN-KUL</t>
  </si>
  <si>
    <t xml:space="preserve">mh 7p </t>
  </si>
  <si>
    <t>SIN KUL 酒店</t>
  </si>
  <si>
    <t>地接</t>
  </si>
  <si>
    <t>就是报表里的开票公司，我需要归类到一起</t>
  </si>
  <si>
    <t>比如国旅开的。我就要归到国旅里面</t>
  </si>
  <si>
    <t>如下</t>
  </si>
  <si>
    <t xml:space="preserve">我合计数就是欠国旅的钱 </t>
  </si>
  <si>
    <t>10月</t>
  </si>
  <si>
    <t>行程</t>
  </si>
  <si>
    <t>票号</t>
  </si>
  <si>
    <t>应付</t>
  </si>
  <si>
    <t>合计（应收）</t>
  </si>
  <si>
    <t>利润</t>
  </si>
  <si>
    <t>客户</t>
  </si>
  <si>
    <t>开票公司</t>
  </si>
  <si>
    <t>康辉</t>
  </si>
  <si>
    <t>国旅</t>
  </si>
  <si>
    <t>冯现</t>
  </si>
  <si>
    <t>冯CTRIP</t>
  </si>
  <si>
    <t>MEL-SHA-MEL</t>
  </si>
  <si>
    <t xml:space="preserve">781-2782412722   </t>
  </si>
  <si>
    <t>GUO/XIAOLIN</t>
  </si>
  <si>
    <t>冯今日</t>
  </si>
  <si>
    <t>扫码</t>
  </si>
  <si>
    <t>SHA-TYO-SHA</t>
  </si>
  <si>
    <t>999-5500701282-83</t>
  </si>
  <si>
    <t>朱娴</t>
  </si>
  <si>
    <t>SHA-FUK-SHA</t>
  </si>
  <si>
    <t>999-2698283908</t>
  </si>
  <si>
    <t>HGH-SEL</t>
  </si>
  <si>
    <t>999-2750236270</t>
  </si>
  <si>
    <t>周吉宁</t>
  </si>
  <si>
    <t>SEL-HGH</t>
  </si>
  <si>
    <t>999-2752449192</t>
  </si>
  <si>
    <t>HGH-SEL-HGH</t>
  </si>
  <si>
    <t>999-2750236271-72</t>
  </si>
  <si>
    <t/>
  </si>
  <si>
    <t>YTY-UYN</t>
  </si>
  <si>
    <t>826-5081594646</t>
  </si>
  <si>
    <t>扬州</t>
  </si>
  <si>
    <t>PEK-YUN</t>
  </si>
  <si>
    <t>822-5081594647-48</t>
  </si>
  <si>
    <t>826-5081594646 REF</t>
  </si>
  <si>
    <t>822-5081594647-48  REF</t>
  </si>
  <si>
    <t>WUX-PEK</t>
  </si>
  <si>
    <t>479-5510939843-44</t>
  </si>
  <si>
    <t>佳达</t>
  </si>
  <si>
    <t>PEK-WUX</t>
  </si>
  <si>
    <t xml:space="preserve"> 781-5081623890-91</t>
  </si>
  <si>
    <t>PEK-WUX CHG</t>
  </si>
  <si>
    <t>781-5081624017-18</t>
  </si>
  <si>
    <t>租车</t>
  </si>
  <si>
    <t>WUX-SZX</t>
  </si>
  <si>
    <t>479-6384489259-60</t>
  </si>
  <si>
    <t>特种设备</t>
  </si>
  <si>
    <t>SZX-WUX</t>
  </si>
  <si>
    <t>479-6384970071-72</t>
  </si>
  <si>
    <t>电子保险</t>
  </si>
  <si>
    <t>10*4</t>
  </si>
  <si>
    <t xml:space="preserve">NKG-UYN </t>
  </si>
  <si>
    <t>018-5081624031</t>
  </si>
  <si>
    <t>扬州季</t>
  </si>
  <si>
    <t xml:space="preserve">018-5081624032  </t>
  </si>
  <si>
    <t>018-5081624032 REF</t>
  </si>
  <si>
    <t>TYN-CZX</t>
  </si>
  <si>
    <t>781-5081624169-70</t>
  </si>
  <si>
    <t>马来签证费</t>
  </si>
  <si>
    <t>创凯智能</t>
  </si>
  <si>
    <t>CTU-WUX</t>
  </si>
  <si>
    <t>479-5306403731-32</t>
  </si>
  <si>
    <t>FPY</t>
  </si>
  <si>
    <t>SFO-WAS</t>
  </si>
  <si>
    <t>016-2752417113</t>
  </si>
  <si>
    <t>保险</t>
  </si>
  <si>
    <t>虞老师</t>
  </si>
  <si>
    <t xml:space="preserve">付WYF </t>
  </si>
  <si>
    <t>WUX-CTU</t>
  </si>
  <si>
    <t>781-5306403539-40</t>
  </si>
  <si>
    <t>876-5306403538</t>
  </si>
  <si>
    <t xml:space="preserve">WUX-CTU-WUX    </t>
  </si>
  <si>
    <t>WUX-XIY-XNN-SHA</t>
  </si>
  <si>
    <t>国旅GP</t>
  </si>
  <si>
    <t>11*3*20-20*2</t>
  </si>
  <si>
    <t>无锡-吐鲁番</t>
  </si>
  <si>
    <t>381-5510939471-75</t>
  </si>
  <si>
    <t>宋局</t>
  </si>
  <si>
    <t>梨城-大兴</t>
  </si>
  <si>
    <t>781-5081623887-89/45-46</t>
  </si>
  <si>
    <t>吐鲁番-库尔勒 T9527</t>
  </si>
  <si>
    <t>51.5*5</t>
  </si>
  <si>
    <t>北京-无锡 G123</t>
  </si>
  <si>
    <t>556*5</t>
  </si>
  <si>
    <t xml:space="preserve">19OCT   吐鲁番  </t>
  </si>
  <si>
    <t xml:space="preserve"> 187+748</t>
  </si>
  <si>
    <t xml:space="preserve">20OCT-21OCT 库尔勒   </t>
  </si>
  <si>
    <t>854*2+344</t>
  </si>
  <si>
    <t xml:space="preserve">22OCT       北京    </t>
  </si>
  <si>
    <t>185*5</t>
  </si>
  <si>
    <t xml:space="preserve">23oct       北京   </t>
  </si>
  <si>
    <t>312*4</t>
  </si>
  <si>
    <t>SZXWUX</t>
  </si>
  <si>
    <t>479-2731424281</t>
  </si>
  <si>
    <t>肯发</t>
  </si>
  <si>
    <t>pvgsinpvg</t>
  </si>
  <si>
    <t>781-2698283867</t>
  </si>
  <si>
    <t>PVGSIN改</t>
  </si>
  <si>
    <t>781-2750049061</t>
  </si>
  <si>
    <t>WUXSZX</t>
  </si>
  <si>
    <t>479-2967232271</t>
  </si>
  <si>
    <t>WUXSZX改</t>
  </si>
  <si>
    <t>479-5303719834</t>
  </si>
  <si>
    <t>SZXCKG</t>
  </si>
  <si>
    <t>784-2967232272</t>
  </si>
  <si>
    <r>
      <t>szxckg</t>
    </r>
    <r>
      <rPr>
        <sz val="12"/>
        <color theme="1"/>
        <rFont val="宋体"/>
        <family val="2"/>
      </rPr>
      <t>改</t>
    </r>
  </si>
  <si>
    <t>784-5304682948</t>
  </si>
  <si>
    <t>784-5304682975</t>
  </si>
  <si>
    <t>CKGWUX</t>
  </si>
  <si>
    <t>781-2967232273</t>
  </si>
  <si>
    <t>CKGWUX改</t>
  </si>
  <si>
    <t>781-5304683066</t>
  </si>
  <si>
    <t>PVGSINbkk</t>
  </si>
  <si>
    <t>618-2469002265</t>
  </si>
  <si>
    <t>BKKSZX</t>
  </si>
  <si>
    <t>479-2750517213</t>
  </si>
  <si>
    <t>szxwux</t>
  </si>
  <si>
    <t>479-5081623915</t>
  </si>
  <si>
    <t>pvgnrtden/sfopvg</t>
  </si>
  <si>
    <t>016-2752237632</t>
  </si>
  <si>
    <t>雪浪</t>
  </si>
  <si>
    <t>上海火车票</t>
  </si>
  <si>
    <t>余汉</t>
  </si>
  <si>
    <t>479-5510939539</t>
  </si>
  <si>
    <t xml:space="preserve">未来产业 </t>
  </si>
  <si>
    <t>479-551093940</t>
  </si>
  <si>
    <t>深圳酒店</t>
  </si>
  <si>
    <t>全季一晚15OCT</t>
  </si>
  <si>
    <t>黄宏 姜旭恒</t>
  </si>
  <si>
    <t>479-5510939514-15</t>
  </si>
  <si>
    <t>太湖湾</t>
  </si>
  <si>
    <t>姜4500</t>
  </si>
  <si>
    <t>479-5510939685</t>
  </si>
  <si>
    <t>黄4752</t>
  </si>
  <si>
    <t>SZX-WUX CHG</t>
  </si>
  <si>
    <t xml:space="preserve">479-5510939698  </t>
  </si>
  <si>
    <t xml:space="preserve">SZX--WUX </t>
  </si>
  <si>
    <t>479-5510939686</t>
  </si>
  <si>
    <t>超标469*2</t>
  </si>
  <si>
    <t>全季二晚15OCT-16OCT</t>
  </si>
  <si>
    <t>王常红</t>
  </si>
  <si>
    <t>479-5510939555</t>
  </si>
  <si>
    <t>尚贤湖</t>
  </si>
  <si>
    <t>转账上</t>
  </si>
  <si>
    <t>479-5510939553</t>
  </si>
  <si>
    <t xml:space="preserve">如家一晚15OCT </t>
  </si>
  <si>
    <t>夏丰</t>
  </si>
  <si>
    <t>479-5510939554</t>
  </si>
  <si>
    <t>超标320 珠海</t>
  </si>
  <si>
    <t>479-5510939687</t>
  </si>
  <si>
    <t>如家二晚15OCT -16OCT</t>
  </si>
  <si>
    <t>孙伟刚 周毅</t>
  </si>
  <si>
    <t>无锡-北京</t>
  </si>
  <si>
    <t>14OCT G4 615*2</t>
  </si>
  <si>
    <t>党政办</t>
  </si>
  <si>
    <t>北京-无锡</t>
  </si>
  <si>
    <t>16OCT G129 556*2</t>
  </si>
  <si>
    <t>北京酒店</t>
  </si>
  <si>
    <t>球果2间2晚 500*2*2+682</t>
  </si>
  <si>
    <t>狄 许伟</t>
  </si>
  <si>
    <t>未来产业</t>
  </si>
  <si>
    <t xml:space="preserve">球果2间2晚2500*2*2 </t>
  </si>
  <si>
    <t>北京用车</t>
  </si>
  <si>
    <t>未来/金易 1812*2</t>
  </si>
  <si>
    <t>雪浪1968 黄金湾2368</t>
  </si>
  <si>
    <t>范 黄</t>
  </si>
  <si>
    <t>479-5510939484-84</t>
  </si>
  <si>
    <t>金易</t>
  </si>
  <si>
    <t>16OCT G143 556*2</t>
  </si>
  <si>
    <t>球果2间2晚 500*2*2</t>
  </si>
  <si>
    <t>葛 曹</t>
  </si>
  <si>
    <t xml:space="preserve">14OCT/G4 </t>
  </si>
  <si>
    <t>14OCT G132</t>
  </si>
  <si>
    <t>15OCT G149</t>
  </si>
  <si>
    <t xml:space="preserve">16OCT G129 </t>
  </si>
  <si>
    <t>球果2+1晚 500*2+500</t>
  </si>
  <si>
    <t>陈建军10OCT</t>
  </si>
  <si>
    <t>479-5306403754</t>
  </si>
  <si>
    <t>未来</t>
  </si>
  <si>
    <t>黄宏 黄心婷 钱梦丹</t>
  </si>
  <si>
    <t>479-5081624165-67</t>
  </si>
  <si>
    <t>超标1200</t>
  </si>
  <si>
    <t>479-5084548761-63</t>
  </si>
  <si>
    <t>29OCT-30OCT 2晚3间</t>
  </si>
  <si>
    <t>华洁逸</t>
  </si>
  <si>
    <t xml:space="preserve"> 479-5081624109 </t>
  </si>
  <si>
    <t xml:space="preserve"> 479-5081624109 REF</t>
  </si>
  <si>
    <t xml:space="preserve">479-5081624112 </t>
  </si>
  <si>
    <t>479-5081624112 REF</t>
  </si>
  <si>
    <t>赵铭</t>
  </si>
  <si>
    <t xml:space="preserve"> 479-5081624110</t>
  </si>
  <si>
    <t>超标442</t>
  </si>
  <si>
    <t>PEK-SZX</t>
  </si>
  <si>
    <t xml:space="preserve">479-5081624111  </t>
  </si>
  <si>
    <t>479-5081624111 REF</t>
  </si>
  <si>
    <t>PEK-CAN</t>
  </si>
  <si>
    <t>880-6380082742</t>
  </si>
  <si>
    <t xml:space="preserve"> 479-5084548754</t>
  </si>
  <si>
    <t>27OCT 一晚</t>
  </si>
  <si>
    <t>29OCT 一晚</t>
  </si>
  <si>
    <t>范鹏 黄文辉</t>
  </si>
  <si>
    <t>781-5081624098-99</t>
  </si>
  <si>
    <t>超标380</t>
  </si>
  <si>
    <t>G151 28OCT</t>
  </si>
  <si>
    <t>范</t>
  </si>
  <si>
    <t xml:space="preserve">27OCT 一晚 </t>
  </si>
  <si>
    <t>黄 李</t>
  </si>
  <si>
    <t>27OCT-28OCT  2间2晚</t>
  </si>
  <si>
    <t>郑曜</t>
  </si>
  <si>
    <t xml:space="preserve">781-5081624079         </t>
  </si>
  <si>
    <t>经发</t>
  </si>
  <si>
    <t xml:space="preserve">781-5081624080  </t>
  </si>
  <si>
    <t>钱益峰</t>
  </si>
  <si>
    <t>479-5081624082</t>
  </si>
  <si>
    <t xml:space="preserve"> 479-5081624084</t>
  </si>
  <si>
    <t xml:space="preserve">27OCT-28OCT 1间2晚 </t>
  </si>
  <si>
    <t xml:space="preserve">27OCT  1间1晚 </t>
  </si>
  <si>
    <t>荆振</t>
  </si>
  <si>
    <t>479-5081624081</t>
  </si>
  <si>
    <t>超标250</t>
  </si>
  <si>
    <t>WUX-PEK CHG</t>
  </si>
  <si>
    <t>479-5081624168</t>
  </si>
  <si>
    <t>479-5081624083</t>
  </si>
  <si>
    <t>范鹏 蒋经纬</t>
  </si>
  <si>
    <t>479-5081624005-06</t>
  </si>
  <si>
    <t>893-6380082354-55</t>
  </si>
  <si>
    <t>23OCT 一间2晚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</si>
</sst>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1">
    <numFmt numFmtId="164" formatCode="0.00_ 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2"/>
      <color theme="1"/>
      <name val="宋体"/>
      <family val="2"/>
    </font>
    <font>
      <sz val="11"/>
      <color theme="1"/>
      <name val="宋体"/>
      <family val="2"/>
    </font>
    <font>
      <sz val="12"/>
      <color rgb="FF0000ff"/>
      <name val="宋体"/>
      <family val="2"/>
    </font>
    <font>
      <sz val="12"/>
      <color rgb="FF000000"/>
      <name val="宋体"/>
      <family val="2"/>
    </font>
    <font>
      <sz val="11"/>
      <color rgb="FFff0000"/>
      <name val="宋体"/>
      <family val="2"/>
    </font>
    <font>
      <b/>
      <sz val="12"/>
      <color theme="1"/>
      <name val="宋体"/>
      <family val="2"/>
    </font>
    <font>
      <b/>
      <sz val="12"/>
      <color theme="1"/>
      <name val="Arial"/>
      <family val="2"/>
    </font>
    <font>
      <b/>
      <sz val="12"/>
      <color rgb="FF0000ff"/>
      <name val="宋体"/>
      <family val="2"/>
    </font>
    <font>
      <b/>
      <sz val="12"/>
      <color rgb="FFff0000"/>
      <name val="宋体"/>
      <family val="2"/>
    </font>
    <font>
      <b/>
      <sz val="12"/>
      <color rgb="FF000000"/>
      <name val="宋体"/>
      <family val="2"/>
    </font>
    <font>
      <b/>
      <sz val="11"/>
      <color theme="1"/>
      <name val="宋体"/>
      <family val="2"/>
    </font>
    <font>
      <sz val="12"/>
      <color rgb="FFff0000"/>
      <name val="宋体"/>
      <family val="2"/>
    </font>
    <font>
      <sz val="11"/>
      <color theme="1"/>
      <name val="宋体"/>
      <family val="2"/>
    </font>
    <font>
      <sz val="11"/>
      <color rgb="FF000000"/>
      <name val="宋体"/>
      <family val="2"/>
    </font>
    <font>
      <sz val="11"/>
      <color rgb="FF0000ff"/>
      <name val="宋体"/>
      <family val="2"/>
    </font>
    <font>
      <sz val="11"/>
      <color theme="1"/>
      <name val="等线"/>
      <family val="2"/>
    </font>
    <font>
      <sz val="11"/>
      <color theme="1"/>
      <name val="Times New Roman"/>
      <family val="2"/>
    </font>
    <font>
      <sz val="12"/>
      <color theme="1"/>
      <name val="Times New Roman"/>
      <family val="2"/>
    </font>
    <font>
      <sz val="12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99cc00"/>
      </patternFill>
    </fill>
    <fill>
      <patternFill patternType="solid">
        <fgColor rgb="FFd9d9d9"/>
      </patternFill>
    </fill>
    <fill>
      <patternFill patternType="solid">
        <fgColor rgb="FFbfbfbf"/>
      </patternFill>
    </fill>
    <fill>
      <patternFill patternType="solid">
        <fgColor rgb="FF92d050"/>
      </patternFill>
    </fill>
    <fill>
      <patternFill patternType="solid">
        <fgColor rgb="FFffff00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</borders>
  <cellStyleXfs count="1">
    <xf numFmtId="0" fontId="0" fillId="0" borderId="0"/>
  </cellStyleXfs>
  <cellXfs count="53">
    <xf xfId="0" numFmtId="0" borderId="0" fontId="0" fillId="0"/>
    <xf xfId="0" numFmtId="0" borderId="0" fontId="0" fillId="0" applyAlignment="1">
      <alignment horizontal="general"/>
    </xf>
    <xf xfId="0" numFmtId="4" applyNumberFormat="1" borderId="0" fontId="0" fillId="0" applyAlignment="1">
      <alignment horizontal="right"/>
    </xf>
    <xf xfId="0" numFmtId="0" borderId="1" applyBorder="1" fontId="1" applyFont="1" fillId="0" applyAlignment="1">
      <alignment horizontal="left"/>
    </xf>
    <xf xfId="0" numFmtId="0" borderId="2" applyBorder="1" fontId="2" applyFont="1" fillId="0" applyAlignment="1">
      <alignment horizontal="left"/>
    </xf>
    <xf xfId="0" numFmtId="0" borderId="2" applyBorder="1" fontId="3" applyFont="1" fillId="0" applyAlignment="1">
      <alignment horizontal="justify"/>
    </xf>
    <xf xfId="0" numFmtId="4" applyNumberFormat="1" borderId="2" applyBorder="1" fontId="4" applyFont="1" fillId="0" applyAlignment="1">
      <alignment horizontal="right"/>
    </xf>
    <xf xfId="0" numFmtId="0" borderId="2" applyBorder="1" fontId="5" applyFont="1" fillId="0" applyAlignment="1">
      <alignment horizontal="left"/>
    </xf>
    <xf xfId="0" numFmtId="0" borderId="2" applyBorder="1" fontId="6" applyFont="1" fillId="0" applyAlignment="1">
      <alignment horizontal="justify"/>
    </xf>
    <xf xfId="0" numFmtId="164" applyNumberFormat="1" borderId="2" applyBorder="1" fontId="4" applyFont="1" fillId="0" applyAlignment="1">
      <alignment horizontal="right"/>
    </xf>
    <xf xfId="0" numFmtId="4" applyNumberFormat="1" borderId="2" applyBorder="1" fontId="4" applyFont="1" fillId="2" applyFill="1" applyAlignment="1">
      <alignment horizontal="right"/>
    </xf>
    <xf xfId="0" numFmtId="0" borderId="2" applyBorder="1" fontId="1" applyFont="1" fillId="0" applyAlignment="1">
      <alignment horizontal="left"/>
    </xf>
    <xf xfId="0" numFmtId="0" borderId="0" fontId="0" fillId="0" applyAlignment="1">
      <alignment horizontal="general"/>
    </xf>
    <xf xfId="0" numFmtId="4" applyNumberFormat="1" borderId="0" fontId="0" fillId="0" applyAlignment="1">
      <alignment horizontal="right"/>
    </xf>
    <xf xfId="0" numFmtId="3" applyNumberFormat="1" borderId="0" fontId="0" fillId="0" applyAlignment="1">
      <alignment horizontal="right"/>
    </xf>
    <xf xfId="0" numFmtId="3" applyNumberFormat="1" borderId="1" applyBorder="1" fontId="1" applyFont="1" fillId="0" applyAlignment="1">
      <alignment horizontal="right"/>
    </xf>
    <xf xfId="0" numFmtId="3" applyNumberFormat="1" borderId="0" fontId="0" fillId="0" applyAlignment="1">
      <alignment horizontal="right"/>
    </xf>
    <xf xfId="0" numFmtId="0" borderId="2" applyBorder="1" fontId="7" applyFont="1" fillId="0" applyAlignment="1">
      <alignment horizontal="left"/>
    </xf>
    <xf xfId="0" numFmtId="3" applyNumberFormat="1" borderId="2" applyBorder="1" fontId="8" applyFont="1" fillId="0" applyAlignment="1">
      <alignment horizontal="left"/>
    </xf>
    <xf xfId="0" numFmtId="4" applyNumberFormat="1" borderId="2" applyBorder="1" fontId="9" applyFont="1" fillId="0" applyAlignment="1">
      <alignment horizontal="right"/>
    </xf>
    <xf xfId="0" numFmtId="4" applyNumberFormat="1" borderId="2" applyBorder="1" fontId="10" applyFont="1" fillId="0" applyAlignment="1">
      <alignment horizontal="right"/>
    </xf>
    <xf xfId="0" numFmtId="0" borderId="2" applyBorder="1" fontId="11" applyFont="1" fillId="0" applyAlignment="1">
      <alignment horizontal="left"/>
    </xf>
    <xf xfId="0" numFmtId="0" borderId="2" applyBorder="1" fontId="8" applyFont="1" fillId="0" applyAlignment="1">
      <alignment horizontal="left"/>
    </xf>
    <xf xfId="0" numFmtId="0" borderId="1" applyBorder="1" fontId="12" applyFont="1" fillId="0" applyAlignment="1">
      <alignment horizontal="left"/>
    </xf>
    <xf xfId="0" numFmtId="3" applyNumberFormat="1" borderId="2" applyBorder="1" fontId="3" applyFont="1" fillId="0" applyAlignment="1">
      <alignment horizontal="justify"/>
    </xf>
    <xf xfId="0" numFmtId="4" applyNumberFormat="1" borderId="2" applyBorder="1" fontId="13" applyFont="1" fillId="0" applyAlignment="1">
      <alignment horizontal="right"/>
    </xf>
    <xf xfId="0" numFmtId="0" borderId="1" applyBorder="1" fontId="14" applyFont="1" fillId="0" applyAlignment="1">
      <alignment horizontal="left"/>
    </xf>
    <xf xfId="0" numFmtId="3" applyNumberFormat="1" borderId="2" applyBorder="1" fontId="6" applyFont="1" fillId="0" applyAlignment="1">
      <alignment horizontal="justify"/>
    </xf>
    <xf xfId="0" numFmtId="3" applyNumberFormat="1" borderId="2" applyBorder="1" fontId="2" applyFont="1" fillId="0" applyAlignment="1">
      <alignment horizontal="left"/>
    </xf>
    <xf xfId="0" numFmtId="164" applyNumberFormat="1" borderId="2" applyBorder="1" fontId="13" applyFont="1" fillId="0" applyAlignment="1">
      <alignment horizontal="right"/>
    </xf>
    <xf xfId="0" numFmtId="4" applyNumberFormat="1" borderId="2" applyBorder="1" fontId="4" applyFont="1" fillId="3" applyFill="1" applyAlignment="1">
      <alignment horizontal="right"/>
    </xf>
    <xf xfId="0" numFmtId="164" applyNumberFormat="1" borderId="2" applyBorder="1" fontId="4" applyFont="1" fillId="0" applyAlignment="1">
      <alignment horizontal="left"/>
    </xf>
    <xf xfId="0" numFmtId="3" applyNumberFormat="1" borderId="2" applyBorder="1" fontId="1" applyFont="1" fillId="0" applyAlignment="1">
      <alignment horizontal="left"/>
    </xf>
    <xf xfId="0" numFmtId="4" applyNumberFormat="1" borderId="2" applyBorder="1" fontId="4" applyFont="1" fillId="4" applyFill="1" applyAlignment="1">
      <alignment horizontal="right"/>
    </xf>
    <xf xfId="0" numFmtId="0" borderId="2" applyBorder="1" fontId="3" applyFont="1" fillId="0" applyAlignment="1">
      <alignment horizontal="left"/>
    </xf>
    <xf xfId="0" numFmtId="3" applyNumberFormat="1" borderId="2" applyBorder="1" fontId="3" applyFont="1" fillId="0" applyAlignment="1">
      <alignment horizontal="left"/>
    </xf>
    <xf xfId="0" numFmtId="0" borderId="2" applyBorder="1" fontId="14" applyFont="1" fillId="0" applyAlignment="1">
      <alignment horizontal="left"/>
    </xf>
    <xf xfId="0" numFmtId="4" applyNumberFormat="1" borderId="2" applyBorder="1" fontId="4" applyFont="1" fillId="5" applyFill="1" applyAlignment="1">
      <alignment horizontal="right"/>
    </xf>
    <xf xfId="0" numFmtId="0" borderId="2" applyBorder="1" fontId="2" applyFont="1" fillId="0" quotePrefix="1" applyAlignment="1">
      <alignment horizontal="left"/>
    </xf>
    <xf xfId="0" numFmtId="3" applyNumberFormat="1" borderId="2" applyBorder="1" fontId="15" applyFont="1" fillId="0" applyAlignment="1">
      <alignment horizontal="left"/>
    </xf>
    <xf xfId="0" numFmtId="3" applyNumberFormat="1" borderId="2" applyBorder="1" fontId="16" applyFont="1" fillId="0" applyAlignment="1">
      <alignment horizontal="left"/>
    </xf>
    <xf xfId="0" numFmtId="4" applyNumberFormat="1" borderId="2" applyBorder="1" fontId="2" applyFont="1" fillId="0" applyAlignment="1">
      <alignment horizontal="right"/>
    </xf>
    <xf xfId="0" numFmtId="4" applyNumberFormat="1" borderId="2" applyBorder="1" fontId="2" applyFont="1" fillId="3" applyFill="1" applyAlignment="1">
      <alignment horizontal="right"/>
    </xf>
    <xf xfId="0" numFmtId="3" applyNumberFormat="1" borderId="2" applyBorder="1" fontId="17" applyFont="1" fillId="0" applyAlignment="1">
      <alignment horizontal="left"/>
    </xf>
    <xf xfId="0" numFmtId="3" applyNumberFormat="1" borderId="2" applyBorder="1" fontId="18" applyFont="1" fillId="0" applyAlignment="1">
      <alignment horizontal="justify"/>
    </xf>
    <xf xfId="0" numFmtId="3" applyNumberFormat="1" borderId="2" applyBorder="1" fontId="19" applyFont="1" fillId="0" applyAlignment="1">
      <alignment horizontal="left"/>
    </xf>
    <xf xfId="0" numFmtId="0" borderId="2" applyBorder="1" fontId="20" applyFont="1" fillId="0" applyAlignment="1">
      <alignment horizontal="left"/>
    </xf>
    <xf xfId="0" numFmtId="3" applyNumberFormat="1" borderId="2" applyBorder="1" fontId="17" applyFont="1" fillId="0" applyAlignment="1">
      <alignment horizontal="justify"/>
    </xf>
    <xf xfId="0" numFmtId="3" applyNumberFormat="1" borderId="2" applyBorder="1" fontId="16" applyFont="1" fillId="0" applyAlignment="1">
      <alignment horizontal="justify"/>
    </xf>
    <xf xfId="0" numFmtId="0" borderId="3" applyBorder="1" fontId="14" applyFont="1" fillId="6" applyFill="1" applyAlignment="1">
      <alignment horizontal="left"/>
    </xf>
    <xf xfId="0" numFmtId="0" borderId="1" applyBorder="1" fontId="2" applyFont="1" fillId="0" applyAlignment="1">
      <alignment horizontal="left"/>
    </xf>
    <xf xfId="0" numFmtId="3" applyNumberFormat="1" borderId="2" applyBorder="1" fontId="7" applyFont="1" fillId="0" applyAlignment="1">
      <alignment horizontal="left"/>
    </xf>
    <xf xfId="0" numFmtId="3" applyNumberFormat="1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sharedStrings.xml" Type="http://schemas.openxmlformats.org/officeDocument/2006/relationships/sharedStrings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I182"/>
  <sheetViews>
    <sheetView workbookViewId="0" tabSelected="1"/>
  </sheetViews>
  <sheetFormatPr defaultRowHeight="15" x14ac:dyDescent="0.25"/>
  <cols>
    <col min="1" max="1" style="12" width="13.005" customWidth="1" bestFit="1"/>
    <col min="2" max="2" style="12" width="24.433571428571426" customWidth="1" bestFit="1"/>
    <col min="3" max="3" style="52" width="28.14785714285714" customWidth="1" bestFit="1"/>
    <col min="4" max="4" style="13" width="14.43357142857143" customWidth="1" bestFit="1"/>
    <col min="5" max="5" style="13" width="16.433571428571426" customWidth="1" bestFit="1"/>
    <col min="6" max="6" style="13" width="13.005" customWidth="1" bestFit="1"/>
    <col min="7" max="7" style="12" width="13.005" customWidth="1" bestFit="1"/>
    <col min="8" max="8" style="12" width="11.147857142857141" customWidth="1" bestFit="1"/>
    <col min="9" max="9" style="12" width="13.005" customWidth="1" bestFit="1"/>
  </cols>
  <sheetData>
    <row x14ac:dyDescent="0.25" r="1" customHeight="1" ht="22.5">
      <c r="A1" s="17" t="s">
        <v>37</v>
      </c>
      <c r="B1" s="17" t="s">
        <v>38</v>
      </c>
      <c r="C1" s="18" t="s">
        <v>39</v>
      </c>
      <c r="D1" s="19" t="s">
        <v>40</v>
      </c>
      <c r="E1" s="19" t="s">
        <v>41</v>
      </c>
      <c r="F1" s="20" t="s">
        <v>42</v>
      </c>
      <c r="G1" s="21" t="s">
        <v>43</v>
      </c>
      <c r="H1" s="22" t="s">
        <v>44</v>
      </c>
      <c r="I1" s="23"/>
    </row>
    <row x14ac:dyDescent="0.25" r="2" customHeight="1" ht="22.5">
      <c r="A2" s="4"/>
      <c r="B2" s="4" t="s">
        <v>2</v>
      </c>
      <c r="C2" s="24" t="s">
        <v>3</v>
      </c>
      <c r="D2" s="6">
        <v>25500</v>
      </c>
      <c r="E2" s="6">
        <v>119820</v>
      </c>
      <c r="F2" s="25">
        <v>3092</v>
      </c>
      <c r="G2" s="7" t="s">
        <v>4</v>
      </c>
      <c r="H2" s="4" t="s">
        <v>45</v>
      </c>
      <c r="I2" s="26"/>
    </row>
    <row x14ac:dyDescent="0.25" r="3" customHeight="1" ht="22.5">
      <c r="A3" s="4"/>
      <c r="B3" s="4" t="s">
        <v>2</v>
      </c>
      <c r="C3" s="27" t="s">
        <v>5</v>
      </c>
      <c r="D3" s="6">
        <v>5170</v>
      </c>
      <c r="E3" s="9" t="s">
        <v>6</v>
      </c>
      <c r="F3" s="25"/>
      <c r="G3" s="7"/>
      <c r="H3" s="4" t="s">
        <v>45</v>
      </c>
      <c r="I3" s="26"/>
    </row>
    <row x14ac:dyDescent="0.25" r="4" customHeight="1" ht="22.5">
      <c r="A4" s="4"/>
      <c r="B4" s="4" t="s">
        <v>7</v>
      </c>
      <c r="C4" s="24" t="s">
        <v>8</v>
      </c>
      <c r="D4" s="6">
        <v>10515</v>
      </c>
      <c r="E4" s="6"/>
      <c r="F4" s="25"/>
      <c r="G4" s="7"/>
      <c r="H4" s="4" t="s">
        <v>46</v>
      </c>
      <c r="I4" s="26"/>
    </row>
    <row x14ac:dyDescent="0.25" r="5" customHeight="1" ht="22.5">
      <c r="A5" s="4"/>
      <c r="B5" s="4" t="s">
        <v>7</v>
      </c>
      <c r="C5" s="27" t="s">
        <v>9</v>
      </c>
      <c r="D5" s="6">
        <v>2103</v>
      </c>
      <c r="E5" s="6"/>
      <c r="F5" s="25"/>
      <c r="G5" s="7"/>
      <c r="H5" s="4" t="s">
        <v>46</v>
      </c>
      <c r="I5" s="26"/>
    </row>
    <row x14ac:dyDescent="0.25" r="6" customHeight="1" ht="22.5">
      <c r="A6" s="4"/>
      <c r="B6" s="4" t="s">
        <v>10</v>
      </c>
      <c r="C6" s="24" t="s">
        <v>11</v>
      </c>
      <c r="D6" s="6">
        <v>73440</v>
      </c>
      <c r="E6" s="6"/>
      <c r="F6" s="25"/>
      <c r="G6" s="7"/>
      <c r="H6" s="4" t="s">
        <v>46</v>
      </c>
      <c r="I6" s="26"/>
    </row>
    <row x14ac:dyDescent="0.25" r="7" customHeight="1" ht="19.5">
      <c r="A7" s="4"/>
      <c r="B7" s="4"/>
      <c r="C7" s="28"/>
      <c r="D7" s="6"/>
      <c r="E7" s="6"/>
      <c r="F7" s="25"/>
      <c r="G7" s="7" t="s">
        <v>6</v>
      </c>
      <c r="H7" s="4"/>
      <c r="I7" s="26"/>
    </row>
    <row x14ac:dyDescent="0.25" r="8" customHeight="1" ht="22.5">
      <c r="A8" s="4"/>
      <c r="B8" s="4" t="s">
        <v>12</v>
      </c>
      <c r="C8" s="24" t="s">
        <v>13</v>
      </c>
      <c r="D8" s="6">
        <v>2725</v>
      </c>
      <c r="E8" s="10">
        <v>21613</v>
      </c>
      <c r="F8" s="29" t="s">
        <v>6</v>
      </c>
      <c r="G8" s="7" t="s">
        <v>14</v>
      </c>
      <c r="H8" s="4" t="s">
        <v>45</v>
      </c>
      <c r="I8" s="26"/>
    </row>
    <row x14ac:dyDescent="0.25" r="9" customHeight="1" ht="22.5">
      <c r="A9" s="4"/>
      <c r="B9" s="4" t="s">
        <v>15</v>
      </c>
      <c r="C9" s="24" t="s">
        <v>16</v>
      </c>
      <c r="D9" s="6">
        <v>2900</v>
      </c>
      <c r="E9" s="9" t="s">
        <v>6</v>
      </c>
      <c r="F9" s="25"/>
      <c r="G9" s="7"/>
      <c r="H9" s="4" t="s">
        <v>45</v>
      </c>
      <c r="I9" s="26"/>
    </row>
    <row x14ac:dyDescent="0.25" r="10" customHeight="1" ht="22.5">
      <c r="A10" s="4"/>
      <c r="B10" s="4" t="s">
        <v>10</v>
      </c>
      <c r="C10" s="24" t="s">
        <v>17</v>
      </c>
      <c r="D10" s="6">
        <v>14688</v>
      </c>
      <c r="E10" s="6"/>
      <c r="F10" s="25"/>
      <c r="G10" s="7"/>
      <c r="H10" s="4" t="s">
        <v>46</v>
      </c>
      <c r="I10" s="26"/>
    </row>
    <row x14ac:dyDescent="0.25" r="11" customHeight="1" ht="22.5">
      <c r="A11" s="4"/>
      <c r="B11" s="4" t="s">
        <v>18</v>
      </c>
      <c r="C11" s="28"/>
      <c r="D11" s="30">
        <v>1300</v>
      </c>
      <c r="E11" s="6"/>
      <c r="F11" s="25"/>
      <c r="G11" s="7"/>
      <c r="H11" s="4" t="s">
        <v>47</v>
      </c>
      <c r="I11" s="26"/>
    </row>
    <row x14ac:dyDescent="0.25" r="12" customHeight="1" ht="19.5">
      <c r="A12" s="4"/>
      <c r="B12" s="4"/>
      <c r="C12" s="28"/>
      <c r="D12" s="31" t="s">
        <v>6</v>
      </c>
      <c r="E12" s="6"/>
      <c r="F12" s="25"/>
      <c r="G12" s="7"/>
      <c r="H12" s="4"/>
      <c r="I12" s="26"/>
    </row>
    <row x14ac:dyDescent="0.25" r="13" customHeight="1" ht="22.5">
      <c r="A13" s="4"/>
      <c r="B13" s="4" t="s">
        <v>19</v>
      </c>
      <c r="C13" s="32" t="s">
        <v>20</v>
      </c>
      <c r="D13" s="6">
        <v>29152</v>
      </c>
      <c r="E13" s="6"/>
      <c r="F13" s="25"/>
      <c r="G13" s="7"/>
      <c r="H13" s="4" t="s">
        <v>46</v>
      </c>
      <c r="I13" s="26"/>
    </row>
    <row x14ac:dyDescent="0.25" r="14" customHeight="1" ht="22.5">
      <c r="A14" s="4"/>
      <c r="B14" s="4" t="s">
        <v>19</v>
      </c>
      <c r="C14" s="32" t="s">
        <v>21</v>
      </c>
      <c r="D14" s="6">
        <v>-29152</v>
      </c>
      <c r="E14" s="6"/>
      <c r="F14" s="25"/>
      <c r="G14" s="7"/>
      <c r="H14" s="4" t="s">
        <v>46</v>
      </c>
      <c r="I14" s="26"/>
    </row>
    <row x14ac:dyDescent="0.25" r="15" customHeight="1" ht="19.5">
      <c r="A15" s="4"/>
      <c r="B15" s="4"/>
      <c r="C15" s="28"/>
      <c r="D15" s="6"/>
      <c r="E15" s="6"/>
      <c r="F15" s="25"/>
      <c r="G15" s="7"/>
      <c r="H15" s="4"/>
      <c r="I15" s="26"/>
    </row>
    <row x14ac:dyDescent="0.25" r="16" customHeight="1" ht="19.5">
      <c r="A16" s="4"/>
      <c r="B16" s="4"/>
      <c r="C16" s="28"/>
      <c r="D16" s="6"/>
      <c r="E16" s="6"/>
      <c r="F16" s="25"/>
      <c r="G16" s="7"/>
      <c r="H16" s="4"/>
      <c r="I16" s="26"/>
    </row>
    <row x14ac:dyDescent="0.25" r="17" customHeight="1" ht="22.5">
      <c r="A17" s="4"/>
      <c r="B17" s="4" t="s">
        <v>22</v>
      </c>
      <c r="C17" s="24" t="s">
        <v>23</v>
      </c>
      <c r="D17" s="6">
        <v>14504</v>
      </c>
      <c r="E17" s="6">
        <v>26285</v>
      </c>
      <c r="F17" s="25">
        <v>5452</v>
      </c>
      <c r="G17" s="7" t="s">
        <v>24</v>
      </c>
      <c r="H17" s="4" t="s">
        <v>45</v>
      </c>
      <c r="I17" s="26"/>
    </row>
    <row x14ac:dyDescent="0.25" r="18" customHeight="1" ht="22.5">
      <c r="A18" s="4"/>
      <c r="B18" s="4" t="s">
        <v>25</v>
      </c>
      <c r="C18" s="24" t="s">
        <v>26</v>
      </c>
      <c r="D18" s="6">
        <v>1430</v>
      </c>
      <c r="E18" s="9" t="s">
        <v>6</v>
      </c>
      <c r="F18" s="25"/>
      <c r="G18" s="7"/>
      <c r="H18" s="4" t="s">
        <v>45</v>
      </c>
      <c r="I18" s="26"/>
    </row>
    <row x14ac:dyDescent="0.25" r="19" customHeight="1" ht="22.5">
      <c r="A19" s="4"/>
      <c r="B19" s="4" t="s">
        <v>27</v>
      </c>
      <c r="C19" s="27" t="s">
        <v>28</v>
      </c>
      <c r="D19" s="6">
        <v>1168</v>
      </c>
      <c r="E19" s="6"/>
      <c r="F19" s="25"/>
      <c r="G19" s="7"/>
      <c r="H19" s="4" t="s">
        <v>46</v>
      </c>
      <c r="I19" s="26"/>
    </row>
    <row x14ac:dyDescent="0.25" r="20" customHeight="1" ht="22.5">
      <c r="A20" s="4"/>
      <c r="B20" s="4" t="s">
        <v>29</v>
      </c>
      <c r="C20" s="28" t="s">
        <v>30</v>
      </c>
      <c r="D20" s="30">
        <v>3731</v>
      </c>
      <c r="E20" s="9" t="s">
        <v>6</v>
      </c>
      <c r="F20" s="25"/>
      <c r="G20" s="7"/>
      <c r="H20" s="4" t="s">
        <v>48</v>
      </c>
      <c r="I20" s="26"/>
    </row>
    <row x14ac:dyDescent="0.25" r="21" customHeight="1" ht="22.5">
      <c r="A21" s="4"/>
      <c r="B21" s="4" t="s">
        <v>31</v>
      </c>
      <c r="C21" s="28"/>
      <c r="D21" s="30">
        <v>14885</v>
      </c>
      <c r="E21" s="6">
        <v>18040</v>
      </c>
      <c r="F21" s="25">
        <v>3155</v>
      </c>
      <c r="G21" s="7"/>
      <c r="H21" s="4" t="s">
        <v>48</v>
      </c>
      <c r="I21" s="26"/>
    </row>
    <row x14ac:dyDescent="0.25" r="22" customHeight="1" ht="22.5">
      <c r="A22" s="4"/>
      <c r="B22" s="4" t="s">
        <v>32</v>
      </c>
      <c r="C22" s="28"/>
      <c r="D22" s="33">
        <v>22780</v>
      </c>
      <c r="E22" s="10">
        <v>25690</v>
      </c>
      <c r="F22" s="25">
        <v>2910</v>
      </c>
      <c r="G22" s="7"/>
      <c r="H22" s="4" t="s">
        <v>47</v>
      </c>
      <c r="I22" s="26"/>
    </row>
    <row x14ac:dyDescent="0.25" r="23" customHeight="1" ht="19.5">
      <c r="A23" s="4"/>
      <c r="B23" s="4"/>
      <c r="C23" s="28"/>
      <c r="D23" s="6"/>
      <c r="E23" s="9" t="s">
        <v>6</v>
      </c>
      <c r="F23" s="25"/>
      <c r="G23" s="7"/>
      <c r="H23" s="4"/>
      <c r="I23" s="26"/>
    </row>
    <row x14ac:dyDescent="0.25" r="24" customHeight="1" ht="22.5">
      <c r="A24" s="4"/>
      <c r="B24" s="4" t="s">
        <v>49</v>
      </c>
      <c r="C24" s="24" t="s">
        <v>50</v>
      </c>
      <c r="D24" s="33">
        <v>6822</v>
      </c>
      <c r="E24" s="6">
        <v>7230</v>
      </c>
      <c r="F24" s="25">
        <v>408</v>
      </c>
      <c r="G24" s="34" t="s">
        <v>51</v>
      </c>
      <c r="H24" s="4" t="s">
        <v>52</v>
      </c>
      <c r="I24" s="26" t="s">
        <v>53</v>
      </c>
    </row>
    <row x14ac:dyDescent="0.25" r="25" customHeight="1" ht="19.5">
      <c r="A25" s="4"/>
      <c r="B25" s="4"/>
      <c r="C25" s="24"/>
      <c r="D25" s="6"/>
      <c r="E25" s="6"/>
      <c r="F25" s="25"/>
      <c r="G25" s="34"/>
      <c r="H25" s="4"/>
      <c r="I25" s="26"/>
    </row>
    <row x14ac:dyDescent="0.25" r="26" customHeight="1" ht="18">
      <c r="A26" s="4"/>
      <c r="B26" s="4" t="s">
        <v>54</v>
      </c>
      <c r="C26" s="35" t="s">
        <v>55</v>
      </c>
      <c r="D26" s="6">
        <v>4180</v>
      </c>
      <c r="E26" s="6">
        <v>4360</v>
      </c>
      <c r="F26" s="25"/>
      <c r="G26" s="34" t="s">
        <v>56</v>
      </c>
      <c r="H26" s="4" t="s">
        <v>45</v>
      </c>
      <c r="I26" s="26"/>
    </row>
    <row x14ac:dyDescent="0.25" r="27" customHeight="1" ht="18">
      <c r="A27" s="4"/>
      <c r="B27" s="4" t="s">
        <v>54</v>
      </c>
      <c r="C27" s="35" t="s">
        <v>55</v>
      </c>
      <c r="D27" s="6">
        <v>-4180</v>
      </c>
      <c r="E27" s="6">
        <v>-4360</v>
      </c>
      <c r="F27" s="25"/>
      <c r="G27" s="34" t="s">
        <v>56</v>
      </c>
      <c r="H27" s="4" t="s">
        <v>45</v>
      </c>
      <c r="I27" s="26"/>
    </row>
    <row x14ac:dyDescent="0.25" r="28" customHeight="1" ht="18">
      <c r="A28" s="4"/>
      <c r="B28" s="36" t="s">
        <v>57</v>
      </c>
      <c r="C28" s="28" t="s">
        <v>58</v>
      </c>
      <c r="D28" s="6">
        <v>-700</v>
      </c>
      <c r="E28" s="6"/>
      <c r="F28" s="25">
        <v>700</v>
      </c>
      <c r="G28" s="34" t="s">
        <v>56</v>
      </c>
      <c r="H28" s="4" t="s">
        <v>45</v>
      </c>
      <c r="I28" s="26"/>
    </row>
    <row x14ac:dyDescent="0.25" r="29" customHeight="1" ht="18">
      <c r="A29" s="4"/>
      <c r="B29" s="36"/>
      <c r="C29" s="28"/>
      <c r="D29" s="6"/>
      <c r="E29" s="6"/>
      <c r="F29" s="25"/>
      <c r="G29" s="34"/>
      <c r="H29" s="4"/>
      <c r="I29" s="26"/>
    </row>
    <row x14ac:dyDescent="0.25" r="30" customHeight="1" ht="18">
      <c r="A30" s="4"/>
      <c r="B30" s="4" t="s">
        <v>59</v>
      </c>
      <c r="C30" s="35" t="s">
        <v>60</v>
      </c>
      <c r="D30" s="6">
        <v>1715</v>
      </c>
      <c r="E30" s="37">
        <v>8326</v>
      </c>
      <c r="F30" s="25">
        <v>391</v>
      </c>
      <c r="G30" s="34" t="s">
        <v>61</v>
      </c>
      <c r="H30" s="4" t="s">
        <v>45</v>
      </c>
      <c r="I30" s="26"/>
    </row>
    <row x14ac:dyDescent="0.25" r="31" customHeight="1" ht="18">
      <c r="A31" s="4"/>
      <c r="B31" s="4" t="s">
        <v>62</v>
      </c>
      <c r="C31" s="24" t="s">
        <v>63</v>
      </c>
      <c r="D31" s="6">
        <v>4800</v>
      </c>
      <c r="E31" s="9" t="s">
        <v>6</v>
      </c>
      <c r="F31" s="25"/>
      <c r="G31" s="34"/>
      <c r="H31" s="4" t="s">
        <v>45</v>
      </c>
      <c r="I31" s="26"/>
    </row>
    <row x14ac:dyDescent="0.25" r="32" customHeight="1" ht="18">
      <c r="A32" s="4"/>
      <c r="B32" s="4" t="s">
        <v>64</v>
      </c>
      <c r="C32" s="35" t="s">
        <v>65</v>
      </c>
      <c r="D32" s="6">
        <v>1420</v>
      </c>
      <c r="E32" s="6"/>
      <c r="F32" s="25"/>
      <c r="G32" s="34"/>
      <c r="H32" s="4" t="s">
        <v>45</v>
      </c>
      <c r="I32" s="26"/>
    </row>
    <row x14ac:dyDescent="0.25" r="33" customHeight="1" ht="18">
      <c r="A33" s="4"/>
      <c r="B33" s="4"/>
      <c r="C33" s="35"/>
      <c r="D33" s="6"/>
      <c r="E33" s="6"/>
      <c r="F33" s="25"/>
      <c r="G33" s="34"/>
      <c r="H33" s="38" t="s">
        <v>66</v>
      </c>
      <c r="I33" s="26"/>
    </row>
    <row x14ac:dyDescent="0.25" r="34" customHeight="1" ht="18">
      <c r="A34" s="4"/>
      <c r="B34" s="7" t="s">
        <v>67</v>
      </c>
      <c r="C34" s="39" t="s">
        <v>68</v>
      </c>
      <c r="D34" s="6">
        <v>580</v>
      </c>
      <c r="E34" s="10">
        <v>952</v>
      </c>
      <c r="F34" s="25">
        <v>239</v>
      </c>
      <c r="G34" s="34" t="s">
        <v>69</v>
      </c>
      <c r="H34" s="4" t="s">
        <v>45</v>
      </c>
      <c r="I34" s="26"/>
    </row>
    <row x14ac:dyDescent="0.25" r="35" customHeight="1" ht="18">
      <c r="A35" s="4"/>
      <c r="B35" s="7" t="s">
        <v>70</v>
      </c>
      <c r="C35" s="39" t="s">
        <v>71</v>
      </c>
      <c r="D35" s="6">
        <v>2400</v>
      </c>
      <c r="E35" s="6">
        <v>-713</v>
      </c>
      <c r="F35" s="25"/>
      <c r="G35" s="34"/>
      <c r="H35" s="4"/>
      <c r="I35" s="26"/>
    </row>
    <row x14ac:dyDescent="0.25" r="36" customHeight="1" ht="18">
      <c r="A36" s="4"/>
      <c r="B36" s="7" t="s">
        <v>67</v>
      </c>
      <c r="C36" s="40" t="s">
        <v>72</v>
      </c>
      <c r="D36" s="6">
        <v>-107</v>
      </c>
      <c r="E36" s="6"/>
      <c r="F36" s="25"/>
      <c r="G36" s="34"/>
      <c r="H36" s="4"/>
      <c r="I36" s="26"/>
    </row>
    <row x14ac:dyDescent="0.25" r="37" customHeight="1" ht="18">
      <c r="A37" s="4"/>
      <c r="B37" s="7" t="s">
        <v>70</v>
      </c>
      <c r="C37" s="40" t="s">
        <v>73</v>
      </c>
      <c r="D37" s="6">
        <v>-2160</v>
      </c>
      <c r="E37" s="9" t="s">
        <v>6</v>
      </c>
      <c r="F37" s="25"/>
      <c r="G37" s="34"/>
      <c r="H37" s="4"/>
      <c r="I37" s="26"/>
    </row>
    <row x14ac:dyDescent="0.25" r="38" customHeight="1" ht="18">
      <c r="A38" s="4"/>
      <c r="B38" s="4"/>
      <c r="C38" s="24"/>
      <c r="D38" s="6"/>
      <c r="E38" s="6"/>
      <c r="F38" s="25"/>
      <c r="G38" s="34"/>
      <c r="H38" s="4"/>
      <c r="I38" s="26"/>
    </row>
    <row x14ac:dyDescent="0.25" r="39" customHeight="1" ht="18">
      <c r="A39" s="4"/>
      <c r="B39" s="4" t="s">
        <v>74</v>
      </c>
      <c r="C39" s="35" t="s">
        <v>75</v>
      </c>
      <c r="D39" s="6">
        <v>1590</v>
      </c>
      <c r="E39" s="37">
        <v>5520</v>
      </c>
      <c r="F39" s="25">
        <v>90</v>
      </c>
      <c r="G39" s="34" t="s">
        <v>76</v>
      </c>
      <c r="H39" s="4" t="s">
        <v>46</v>
      </c>
      <c r="I39" s="26"/>
    </row>
    <row x14ac:dyDescent="0.25" r="40" customHeight="1" ht="18">
      <c r="A40" s="4"/>
      <c r="B40" s="4" t="s">
        <v>77</v>
      </c>
      <c r="C40" s="35" t="s">
        <v>78</v>
      </c>
      <c r="D40" s="6">
        <v>1440</v>
      </c>
      <c r="E40" s="9" t="s">
        <v>6</v>
      </c>
      <c r="F40" s="25"/>
      <c r="G40" s="34"/>
      <c r="H40" s="4" t="s">
        <v>46</v>
      </c>
      <c r="I40" s="26"/>
    </row>
    <row x14ac:dyDescent="0.25" r="41" customHeight="1" ht="18">
      <c r="A41" s="4"/>
      <c r="B41" s="4" t="s">
        <v>79</v>
      </c>
      <c r="C41" s="35" t="s">
        <v>80</v>
      </c>
      <c r="D41" s="6">
        <v>990</v>
      </c>
      <c r="E41" s="6"/>
      <c r="F41" s="25"/>
      <c r="G41" s="34"/>
      <c r="H41" s="4" t="s">
        <v>46</v>
      </c>
      <c r="I41" s="26"/>
    </row>
    <row x14ac:dyDescent="0.25" r="42" customHeight="1" ht="18">
      <c r="A42" s="4"/>
      <c r="B42" s="4" t="s">
        <v>81</v>
      </c>
      <c r="C42" s="24"/>
      <c r="D42" s="30">
        <v>1410</v>
      </c>
      <c r="E42" s="6"/>
      <c r="F42" s="25"/>
      <c r="G42" s="34"/>
      <c r="H42" s="4" t="s">
        <v>47</v>
      </c>
      <c r="I42" s="26"/>
    </row>
    <row x14ac:dyDescent="0.25" r="43" customHeight="1" ht="18">
      <c r="A43" s="4"/>
      <c r="B43" s="4"/>
      <c r="C43" s="24"/>
      <c r="D43" s="6"/>
      <c r="E43" s="6"/>
      <c r="F43" s="25"/>
      <c r="G43" s="34"/>
      <c r="H43" s="4"/>
      <c r="I43" s="26"/>
    </row>
    <row x14ac:dyDescent="0.25" r="44" customHeight="1" ht="18">
      <c r="A44" s="4"/>
      <c r="B44" s="4" t="s">
        <v>82</v>
      </c>
      <c r="C44" s="35" t="s">
        <v>83</v>
      </c>
      <c r="D44" s="6">
        <v>3110</v>
      </c>
      <c r="E44" s="6">
        <v>6680</v>
      </c>
      <c r="F44" s="25">
        <v>190</v>
      </c>
      <c r="G44" s="7" t="s">
        <v>84</v>
      </c>
      <c r="H44" s="4" t="s">
        <v>46</v>
      </c>
      <c r="I44" s="26"/>
    </row>
    <row x14ac:dyDescent="0.25" r="45" customHeight="1" ht="18">
      <c r="A45" s="4"/>
      <c r="B45" s="4" t="s">
        <v>85</v>
      </c>
      <c r="C45" s="35" t="s">
        <v>86</v>
      </c>
      <c r="D45" s="6">
        <v>3340</v>
      </c>
      <c r="E45" s="9" t="s">
        <v>6</v>
      </c>
      <c r="F45" s="25"/>
      <c r="G45" s="7"/>
      <c r="H45" s="4" t="s">
        <v>46</v>
      </c>
      <c r="I45" s="26"/>
    </row>
    <row x14ac:dyDescent="0.25" r="46" customHeight="1" ht="18">
      <c r="A46" s="4"/>
      <c r="B46" s="4" t="s">
        <v>87</v>
      </c>
      <c r="C46" s="28" t="s">
        <v>88</v>
      </c>
      <c r="D46" s="6">
        <v>40</v>
      </c>
      <c r="E46" s="6"/>
      <c r="F46" s="25"/>
      <c r="G46" s="7"/>
      <c r="H46" s="4" t="s">
        <v>46</v>
      </c>
      <c r="I46" s="26"/>
    </row>
    <row x14ac:dyDescent="0.25" r="47" customHeight="1" ht="18">
      <c r="A47" s="4"/>
      <c r="B47" s="4"/>
      <c r="C47" s="28"/>
      <c r="D47" s="6"/>
      <c r="E47" s="6"/>
      <c r="F47" s="25"/>
      <c r="G47" s="7"/>
      <c r="H47" s="4"/>
      <c r="I47" s="26"/>
    </row>
    <row x14ac:dyDescent="0.25" r="48" customHeight="1" ht="18">
      <c r="A48" s="4"/>
      <c r="B48" s="4" t="s">
        <v>89</v>
      </c>
      <c r="C48" s="35" t="s">
        <v>90</v>
      </c>
      <c r="D48" s="6">
        <v>775</v>
      </c>
      <c r="E48" s="9" t="s">
        <v>6</v>
      </c>
      <c r="F48" s="25">
        <v>-1133</v>
      </c>
      <c r="G48" s="7" t="s">
        <v>91</v>
      </c>
      <c r="H48" s="4" t="s">
        <v>46</v>
      </c>
      <c r="I48" s="26"/>
    </row>
    <row x14ac:dyDescent="0.25" r="49" customHeight="1" ht="18">
      <c r="A49" s="4"/>
      <c r="B49" s="4" t="s">
        <v>89</v>
      </c>
      <c r="C49" s="39" t="s">
        <v>92</v>
      </c>
      <c r="D49" s="6">
        <v>855</v>
      </c>
      <c r="E49" s="6"/>
      <c r="F49" s="25"/>
      <c r="G49" s="7"/>
      <c r="H49" s="4" t="s">
        <v>46</v>
      </c>
      <c r="I49" s="26"/>
    </row>
    <row x14ac:dyDescent="0.25" r="50" customHeight="1" ht="18">
      <c r="A50" s="4"/>
      <c r="B50" s="4" t="s">
        <v>89</v>
      </c>
      <c r="C50" s="40" t="s">
        <v>93</v>
      </c>
      <c r="D50" s="6">
        <v>-655</v>
      </c>
      <c r="E50" s="6"/>
      <c r="F50" s="25"/>
      <c r="G50" s="7"/>
      <c r="H50" s="4" t="s">
        <v>46</v>
      </c>
      <c r="I50" s="26"/>
    </row>
    <row x14ac:dyDescent="0.25" r="51" customHeight="1" ht="18">
      <c r="A51" s="4"/>
      <c r="B51" s="4" t="s">
        <v>94</v>
      </c>
      <c r="C51" s="40" t="s">
        <v>95</v>
      </c>
      <c r="D51" s="6">
        <v>158</v>
      </c>
      <c r="E51" s="6"/>
      <c r="F51" s="25"/>
      <c r="G51" s="7"/>
      <c r="H51" s="4" t="s">
        <v>46</v>
      </c>
      <c r="I51" s="26"/>
    </row>
    <row x14ac:dyDescent="0.25" r="52" customHeight="1" ht="18">
      <c r="A52" s="4"/>
      <c r="B52" s="4"/>
      <c r="C52" s="24"/>
      <c r="D52" s="6"/>
      <c r="E52" s="6"/>
      <c r="F52" s="25"/>
      <c r="G52" s="34"/>
      <c r="H52" s="4"/>
      <c r="I52" s="26"/>
    </row>
    <row x14ac:dyDescent="0.25" r="53" customHeight="1" ht="18">
      <c r="A53" s="4"/>
      <c r="B53" s="4" t="s">
        <v>96</v>
      </c>
      <c r="C53" s="28"/>
      <c r="D53" s="30">
        <v>1600</v>
      </c>
      <c r="E53" s="6">
        <v>1600</v>
      </c>
      <c r="F53" s="25"/>
      <c r="G53" s="7" t="s">
        <v>97</v>
      </c>
      <c r="H53" s="4" t="s">
        <v>47</v>
      </c>
      <c r="I53" s="26"/>
    </row>
    <row x14ac:dyDescent="0.25" r="54" customHeight="1" ht="18">
      <c r="A54" s="4"/>
      <c r="B54" s="4"/>
      <c r="C54" s="28"/>
      <c r="D54" s="6"/>
      <c r="E54" s="6"/>
      <c r="F54" s="25"/>
      <c r="G54" s="7"/>
      <c r="H54" s="4"/>
      <c r="I54" s="26"/>
    </row>
    <row x14ac:dyDescent="0.25" r="55" customHeight="1" ht="18">
      <c r="A55" s="4"/>
      <c r="B55" s="4" t="s">
        <v>98</v>
      </c>
      <c r="C55" s="32" t="s">
        <v>99</v>
      </c>
      <c r="D55" s="6">
        <v>1630</v>
      </c>
      <c r="E55" s="10">
        <v>1630</v>
      </c>
      <c r="F55" s="25"/>
      <c r="G55" s="7" t="s">
        <v>100</v>
      </c>
      <c r="H55" s="4" t="s">
        <v>46</v>
      </c>
      <c r="I55" s="26"/>
    </row>
    <row x14ac:dyDescent="0.25" r="56" customHeight="1" ht="18">
      <c r="A56" s="4"/>
      <c r="B56" s="4" t="s">
        <v>101</v>
      </c>
      <c r="C56" s="32" t="s">
        <v>102</v>
      </c>
      <c r="D56" s="6">
        <v>2904</v>
      </c>
      <c r="E56" s="10">
        <v>2904</v>
      </c>
      <c r="F56" s="25"/>
      <c r="G56" s="7" t="s">
        <v>100</v>
      </c>
      <c r="H56" s="4" t="s">
        <v>46</v>
      </c>
      <c r="I56" s="26"/>
    </row>
    <row x14ac:dyDescent="0.25" r="57" customHeight="1" ht="18">
      <c r="A57" s="4"/>
      <c r="B57" s="4"/>
      <c r="C57" s="32"/>
      <c r="D57" s="6"/>
      <c r="E57" s="9" t="s">
        <v>6</v>
      </c>
      <c r="F57" s="25"/>
      <c r="G57" s="7"/>
      <c r="H57" s="4"/>
      <c r="I57" s="26"/>
    </row>
    <row x14ac:dyDescent="0.25" r="58" customHeight="1" ht="18">
      <c r="A58" s="4"/>
      <c r="B58" s="4" t="s">
        <v>103</v>
      </c>
      <c r="C58" s="28"/>
      <c r="D58" s="30">
        <v>960</v>
      </c>
      <c r="E58" s="6">
        <v>66802</v>
      </c>
      <c r="F58" s="25">
        <v>3970</v>
      </c>
      <c r="G58" s="7" t="s">
        <v>104</v>
      </c>
      <c r="H58" s="4" t="s">
        <v>105</v>
      </c>
      <c r="I58" s="26"/>
    </row>
    <row x14ac:dyDescent="0.25" r="59" customHeight="1" ht="18">
      <c r="A59" s="4"/>
      <c r="B59" s="4" t="s">
        <v>106</v>
      </c>
      <c r="C59" s="24" t="s">
        <v>107</v>
      </c>
      <c r="D59" s="6">
        <v>2138</v>
      </c>
      <c r="E59" s="9" t="s">
        <v>6</v>
      </c>
      <c r="F59" s="25"/>
      <c r="G59" s="7"/>
      <c r="H59" s="4" t="s">
        <v>46</v>
      </c>
      <c r="I59" s="26"/>
    </row>
    <row x14ac:dyDescent="0.25" r="60" customHeight="1" ht="18">
      <c r="A60" s="4"/>
      <c r="B60" s="4" t="s">
        <v>98</v>
      </c>
      <c r="C60" s="24" t="s">
        <v>108</v>
      </c>
      <c r="D60" s="6">
        <v>1200</v>
      </c>
      <c r="E60" s="6"/>
      <c r="F60" s="25"/>
      <c r="G60" s="7"/>
      <c r="H60" s="4" t="s">
        <v>46</v>
      </c>
      <c r="I60" s="26"/>
    </row>
    <row x14ac:dyDescent="0.25" r="61" customHeight="1" ht="18">
      <c r="A61" s="4"/>
      <c r="B61" s="4" t="s">
        <v>109</v>
      </c>
      <c r="C61" s="24"/>
      <c r="D61" s="6">
        <v>59482</v>
      </c>
      <c r="E61" s="6"/>
      <c r="F61" s="25"/>
      <c r="G61" s="7"/>
      <c r="H61" s="4" t="s">
        <v>46</v>
      </c>
      <c r="I61" s="26"/>
    </row>
    <row x14ac:dyDescent="0.25" r="62" customHeight="1" ht="18">
      <c r="A62" s="4"/>
      <c r="B62" s="4" t="s">
        <v>98</v>
      </c>
      <c r="C62" s="32">
        <v>5306403629</v>
      </c>
      <c r="D62" s="6">
        <v>-948</v>
      </c>
      <c r="E62" s="6"/>
      <c r="F62" s="25"/>
      <c r="G62" s="7"/>
      <c r="H62" s="4"/>
      <c r="I62" s="26"/>
    </row>
    <row x14ac:dyDescent="0.25" r="63" customHeight="1" ht="18">
      <c r="A63" s="4"/>
      <c r="B63" s="4"/>
      <c r="C63" s="32"/>
      <c r="D63" s="6"/>
      <c r="E63" s="6"/>
      <c r="F63" s="25"/>
      <c r="G63" s="7"/>
      <c r="H63" s="4"/>
      <c r="I63" s="26"/>
    </row>
    <row x14ac:dyDescent="0.25" r="64" customHeight="1" ht="18">
      <c r="A64" s="4"/>
      <c r="B64" s="4" t="s">
        <v>110</v>
      </c>
      <c r="C64" s="24"/>
      <c r="D64" s="6">
        <v>21755</v>
      </c>
      <c r="E64" s="6">
        <v>23433</v>
      </c>
      <c r="F64" s="25">
        <v>1058</v>
      </c>
      <c r="G64" s="7" t="s">
        <v>104</v>
      </c>
      <c r="H64" s="4" t="s">
        <v>111</v>
      </c>
      <c r="I64" s="26"/>
    </row>
    <row x14ac:dyDescent="0.25" r="65" customHeight="1" ht="18">
      <c r="A65" s="4"/>
      <c r="B65" s="4" t="s">
        <v>103</v>
      </c>
      <c r="C65" s="24" t="s">
        <v>112</v>
      </c>
      <c r="D65" s="6">
        <v>620</v>
      </c>
      <c r="E65" s="9" t="s">
        <v>6</v>
      </c>
      <c r="F65" s="25"/>
      <c r="G65" s="7"/>
      <c r="H65" s="4" t="s">
        <v>46</v>
      </c>
      <c r="I65" s="26"/>
    </row>
    <row x14ac:dyDescent="0.25" r="66" customHeight="1" ht="18">
      <c r="A66" s="4"/>
      <c r="B66" s="4" t="s">
        <v>6</v>
      </c>
      <c r="C66" s="24"/>
      <c r="D66" s="6"/>
      <c r="E66" s="6"/>
      <c r="F66" s="25"/>
      <c r="G66" s="7"/>
      <c r="H66" s="4"/>
      <c r="I66" s="26"/>
    </row>
    <row x14ac:dyDescent="0.25" r="67" customHeight="1" ht="18">
      <c r="A67" s="4"/>
      <c r="B67" s="4" t="s">
        <v>113</v>
      </c>
      <c r="C67" s="32" t="s">
        <v>114</v>
      </c>
      <c r="D67" s="41">
        <v>4410</v>
      </c>
      <c r="E67" s="6">
        <v>21098</v>
      </c>
      <c r="F67" s="25">
        <v>1866</v>
      </c>
      <c r="G67" s="7" t="s">
        <v>115</v>
      </c>
      <c r="H67" s="4" t="s">
        <v>46</v>
      </c>
      <c r="I67" s="26"/>
    </row>
    <row x14ac:dyDescent="0.25" r="68" customHeight="1" ht="18">
      <c r="A68" s="4"/>
      <c r="B68" s="4" t="s">
        <v>116</v>
      </c>
      <c r="C68" s="32" t="s">
        <v>117</v>
      </c>
      <c r="D68" s="41">
        <v>6625</v>
      </c>
      <c r="E68" s="9" t="s">
        <v>6</v>
      </c>
      <c r="F68" s="25"/>
      <c r="G68" s="7"/>
      <c r="H68" s="4" t="s">
        <v>46</v>
      </c>
      <c r="I68" s="26"/>
    </row>
    <row x14ac:dyDescent="0.25" r="69" customHeight="1" ht="18">
      <c r="A69" s="4"/>
      <c r="B69" s="4" t="s">
        <v>118</v>
      </c>
      <c r="C69" s="28" t="s">
        <v>119</v>
      </c>
      <c r="D69" s="42">
        <v>257</v>
      </c>
      <c r="E69" s="6"/>
      <c r="F69" s="25"/>
      <c r="G69" s="7" t="s">
        <v>6</v>
      </c>
      <c r="H69" s="4" t="s">
        <v>47</v>
      </c>
      <c r="I69" s="26"/>
    </row>
    <row x14ac:dyDescent="0.25" r="70" customHeight="1" ht="18">
      <c r="A70" s="4"/>
      <c r="B70" s="4" t="s">
        <v>120</v>
      </c>
      <c r="C70" s="28" t="s">
        <v>121</v>
      </c>
      <c r="D70" s="42">
        <v>2780</v>
      </c>
      <c r="E70" s="6"/>
      <c r="F70" s="25"/>
      <c r="G70" s="7"/>
      <c r="H70" s="4" t="s">
        <v>47</v>
      </c>
      <c r="I70" s="26"/>
    </row>
    <row x14ac:dyDescent="0.25" r="71" customHeight="1" ht="18">
      <c r="A71" s="4"/>
      <c r="B71" s="5" t="s">
        <v>122</v>
      </c>
      <c r="C71" s="28" t="s">
        <v>123</v>
      </c>
      <c r="D71" s="42">
        <v>935</v>
      </c>
      <c r="E71" s="6"/>
      <c r="F71" s="25"/>
      <c r="G71" s="7"/>
      <c r="H71" s="4" t="s">
        <v>47</v>
      </c>
      <c r="I71" s="26"/>
    </row>
    <row x14ac:dyDescent="0.25" r="72" customHeight="1" ht="18">
      <c r="A72" s="4"/>
      <c r="B72" s="5" t="s">
        <v>124</v>
      </c>
      <c r="C72" s="28" t="s">
        <v>125</v>
      </c>
      <c r="D72" s="42">
        <v>2052</v>
      </c>
      <c r="E72" s="6"/>
      <c r="F72" s="25"/>
      <c r="G72" s="7"/>
      <c r="H72" s="4" t="s">
        <v>47</v>
      </c>
      <c r="I72" s="26"/>
    </row>
    <row x14ac:dyDescent="0.25" r="73" customHeight="1" ht="18">
      <c r="A73" s="4"/>
      <c r="B73" s="5" t="s">
        <v>126</v>
      </c>
      <c r="C73" s="28" t="s">
        <v>127</v>
      </c>
      <c r="D73" s="42">
        <v>925</v>
      </c>
      <c r="E73" s="6"/>
      <c r="F73" s="25"/>
      <c r="G73" s="7"/>
      <c r="H73" s="4" t="s">
        <v>47</v>
      </c>
      <c r="I73" s="26"/>
    </row>
    <row x14ac:dyDescent="0.25" r="74" customHeight="1" ht="18">
      <c r="A74" s="4"/>
      <c r="B74" s="5" t="s">
        <v>128</v>
      </c>
      <c r="C74" s="28" t="s">
        <v>129</v>
      </c>
      <c r="D74" s="42">
        <v>1248</v>
      </c>
      <c r="E74" s="6"/>
      <c r="F74" s="25"/>
      <c r="G74" s="7"/>
      <c r="H74" s="4" t="s">
        <v>47</v>
      </c>
      <c r="I74" s="26"/>
    </row>
    <row x14ac:dyDescent="0.25" r="75" customHeight="1" ht="18">
      <c r="A75" s="4"/>
      <c r="B75" s="4"/>
      <c r="C75" s="24"/>
      <c r="D75" s="6"/>
      <c r="E75" s="9" t="s">
        <v>6</v>
      </c>
      <c r="F75" s="25"/>
      <c r="G75" s="7"/>
      <c r="H75" s="4"/>
      <c r="I75" s="26"/>
    </row>
    <row x14ac:dyDescent="0.25" r="76" customHeight="1" ht="18">
      <c r="A76" s="4"/>
      <c r="B76" s="4" t="s">
        <v>130</v>
      </c>
      <c r="C76" s="43" t="s">
        <v>131</v>
      </c>
      <c r="D76" s="6">
        <v>1750</v>
      </c>
      <c r="E76" s="6">
        <v>1780</v>
      </c>
      <c r="F76" s="25">
        <f>SUM(E76-D76)</f>
      </c>
      <c r="G76" s="4" t="s">
        <v>132</v>
      </c>
      <c r="H76" s="4" t="s">
        <v>46</v>
      </c>
      <c r="I76" s="26"/>
    </row>
    <row x14ac:dyDescent="0.25" r="77" customHeight="1" ht="18">
      <c r="A77" s="4"/>
      <c r="B77" s="4" t="s">
        <v>103</v>
      </c>
      <c r="C77" s="44"/>
      <c r="D77" s="6">
        <v>10</v>
      </c>
      <c r="E77" s="6">
        <v>20</v>
      </c>
      <c r="F77" s="25">
        <f>SUM(E77-D77)</f>
      </c>
      <c r="G77" s="4" t="s">
        <v>132</v>
      </c>
      <c r="H77" s="4" t="s">
        <v>46</v>
      </c>
      <c r="I77" s="26"/>
    </row>
    <row x14ac:dyDescent="0.25" r="78" customHeight="1" ht="18">
      <c r="A78" s="4"/>
      <c r="B78" s="4" t="s">
        <v>133</v>
      </c>
      <c r="C78" s="43" t="s">
        <v>134</v>
      </c>
      <c r="D78" s="6">
        <v>5110</v>
      </c>
      <c r="E78" s="6">
        <v>5680</v>
      </c>
      <c r="F78" s="25">
        <f>SUM(E78-D78)</f>
      </c>
      <c r="G78" s="4" t="s">
        <v>132</v>
      </c>
      <c r="H78" s="4" t="s">
        <v>45</v>
      </c>
      <c r="I78" s="26"/>
    </row>
    <row x14ac:dyDescent="0.25" r="79" customHeight="1" ht="18">
      <c r="A79" s="4"/>
      <c r="B79" s="4" t="s">
        <v>135</v>
      </c>
      <c r="C79" s="43" t="s">
        <v>136</v>
      </c>
      <c r="D79" s="6">
        <v>320</v>
      </c>
      <c r="E79" s="6">
        <v>580</v>
      </c>
      <c r="F79" s="25">
        <f>SUM(E79-D79)</f>
      </c>
      <c r="G79" s="4" t="s">
        <v>132</v>
      </c>
      <c r="H79" s="4" t="s">
        <v>45</v>
      </c>
      <c r="I79" s="26"/>
    </row>
    <row x14ac:dyDescent="0.25" r="80" customHeight="1" ht="18">
      <c r="A80" s="4"/>
      <c r="B80" s="4" t="s">
        <v>103</v>
      </c>
      <c r="C80" s="45"/>
      <c r="D80" s="6">
        <v>20</v>
      </c>
      <c r="E80" s="6">
        <v>40</v>
      </c>
      <c r="F80" s="25">
        <f>SUM(E80-D80)</f>
      </c>
      <c r="G80" s="4" t="s">
        <v>132</v>
      </c>
      <c r="H80" s="4" t="s">
        <v>46</v>
      </c>
      <c r="I80" s="26"/>
    </row>
    <row x14ac:dyDescent="0.25" r="81" customHeight="1" ht="18">
      <c r="A81" s="4"/>
      <c r="B81" s="4" t="s">
        <v>137</v>
      </c>
      <c r="C81" s="43" t="s">
        <v>138</v>
      </c>
      <c r="D81" s="6">
        <v>1290</v>
      </c>
      <c r="E81" s="6">
        <v>1320</v>
      </c>
      <c r="F81" s="25">
        <f>SUM(E81-D81)</f>
      </c>
      <c r="G81" s="4" t="s">
        <v>132</v>
      </c>
      <c r="H81" s="4" t="s">
        <v>46</v>
      </c>
      <c r="I81" s="26"/>
    </row>
    <row x14ac:dyDescent="0.25" r="82" customHeight="1" ht="18">
      <c r="A82" s="4"/>
      <c r="B82" s="4" t="s">
        <v>139</v>
      </c>
      <c r="C82" s="43" t="s">
        <v>140</v>
      </c>
      <c r="D82" s="6">
        <v>743</v>
      </c>
      <c r="E82" s="6">
        <v>803</v>
      </c>
      <c r="F82" s="25">
        <f>SUM(E82-D82)</f>
      </c>
      <c r="G82" s="4" t="s">
        <v>132</v>
      </c>
      <c r="H82" s="4" t="s">
        <v>46</v>
      </c>
      <c r="I82" s="26"/>
    </row>
    <row x14ac:dyDescent="0.25" r="83" customHeight="1" ht="18">
      <c r="A83" s="4"/>
      <c r="B83" s="4" t="s">
        <v>103</v>
      </c>
      <c r="C83" s="45"/>
      <c r="D83" s="6">
        <v>10</v>
      </c>
      <c r="E83" s="6">
        <v>20</v>
      </c>
      <c r="F83" s="25">
        <f>SUM(E83-D83)</f>
      </c>
      <c r="G83" s="4" t="s">
        <v>132</v>
      </c>
      <c r="H83" s="4" t="s">
        <v>46</v>
      </c>
      <c r="I83" s="26"/>
    </row>
    <row x14ac:dyDescent="0.25" r="84" customHeight="1" ht="18">
      <c r="A84" s="4"/>
      <c r="B84" s="4" t="s">
        <v>141</v>
      </c>
      <c r="C84" s="43" t="s">
        <v>142</v>
      </c>
      <c r="D84" s="6">
        <v>680</v>
      </c>
      <c r="E84" s="6">
        <v>710</v>
      </c>
      <c r="F84" s="25">
        <f>SUM(E84-D84)</f>
      </c>
      <c r="G84" s="4" t="s">
        <v>132</v>
      </c>
      <c r="H84" s="4" t="s">
        <v>46</v>
      </c>
      <c r="I84" s="26"/>
    </row>
    <row x14ac:dyDescent="0.25" r="85" customHeight="1" ht="18">
      <c r="A85" s="4"/>
      <c r="B85" s="46" t="s">
        <v>143</v>
      </c>
      <c r="C85" s="43" t="s">
        <v>144</v>
      </c>
      <c r="D85" s="6">
        <v>555</v>
      </c>
      <c r="E85" s="6">
        <v>595</v>
      </c>
      <c r="F85" s="25">
        <f>SUM(E85-D85)</f>
      </c>
      <c r="G85" s="4" t="s">
        <v>132</v>
      </c>
      <c r="H85" s="4" t="s">
        <v>46</v>
      </c>
      <c r="I85" s="26"/>
    </row>
    <row x14ac:dyDescent="0.25" r="86" customHeight="1" ht="18">
      <c r="A86" s="4"/>
      <c r="B86" s="46" t="s">
        <v>143</v>
      </c>
      <c r="C86" s="43" t="s">
        <v>145</v>
      </c>
      <c r="D86" s="6">
        <v>1273</v>
      </c>
      <c r="E86" s="6">
        <v>1327</v>
      </c>
      <c r="F86" s="25">
        <f>SUM(E86-D86)</f>
      </c>
      <c r="G86" s="4" t="s">
        <v>132</v>
      </c>
      <c r="H86" s="4" t="s">
        <v>46</v>
      </c>
      <c r="I86" s="26"/>
    </row>
    <row x14ac:dyDescent="0.25" r="87" customHeight="1" ht="18">
      <c r="A87" s="4"/>
      <c r="B87" s="4" t="s">
        <v>103</v>
      </c>
      <c r="C87" s="28"/>
      <c r="D87" s="6">
        <v>10</v>
      </c>
      <c r="E87" s="6">
        <v>20</v>
      </c>
      <c r="F87" s="25">
        <f>SUM(E87-D87)</f>
      </c>
      <c r="G87" s="4" t="s">
        <v>132</v>
      </c>
      <c r="H87" s="4" t="s">
        <v>46</v>
      </c>
      <c r="I87" s="26"/>
    </row>
    <row x14ac:dyDescent="0.25" r="88" customHeight="1" ht="18">
      <c r="A88" s="4"/>
      <c r="B88" s="4" t="s">
        <v>146</v>
      </c>
      <c r="C88" s="43" t="s">
        <v>147</v>
      </c>
      <c r="D88" s="6">
        <v>949</v>
      </c>
      <c r="E88" s="6">
        <v>980</v>
      </c>
      <c r="F88" s="25">
        <f>SUM(E88-D88)</f>
      </c>
      <c r="G88" s="4" t="s">
        <v>132</v>
      </c>
      <c r="H88" s="4" t="s">
        <v>46</v>
      </c>
      <c r="I88" s="26"/>
    </row>
    <row x14ac:dyDescent="0.25" r="89" customHeight="1" ht="18">
      <c r="A89" s="4"/>
      <c r="B89" s="4" t="s">
        <v>148</v>
      </c>
      <c r="C89" s="43" t="s">
        <v>149</v>
      </c>
      <c r="D89" s="6">
        <v>270</v>
      </c>
      <c r="E89" s="6">
        <v>310</v>
      </c>
      <c r="F89" s="25">
        <f>SUM(E89-D89)</f>
      </c>
      <c r="G89" s="4" t="s">
        <v>132</v>
      </c>
      <c r="H89" s="4" t="s">
        <v>46</v>
      </c>
      <c r="I89" s="26"/>
    </row>
    <row x14ac:dyDescent="0.25" r="90" customHeight="1" ht="18">
      <c r="A90" s="4"/>
      <c r="B90" s="4" t="s">
        <v>103</v>
      </c>
      <c r="C90" s="28"/>
      <c r="D90" s="6">
        <v>10</v>
      </c>
      <c r="E90" s="6">
        <v>20</v>
      </c>
      <c r="F90" s="25">
        <f>SUM(E90-D90)</f>
      </c>
      <c r="G90" s="4" t="s">
        <v>132</v>
      </c>
      <c r="H90" s="4" t="s">
        <v>46</v>
      </c>
      <c r="I90" s="26"/>
    </row>
    <row x14ac:dyDescent="0.25" r="91" customHeight="1" ht="18">
      <c r="A91" s="4"/>
      <c r="B91" s="4" t="s">
        <v>150</v>
      </c>
      <c r="C91" s="47" t="s">
        <v>151</v>
      </c>
      <c r="D91" s="6">
        <v>4574</v>
      </c>
      <c r="E91" s="6">
        <v>5384</v>
      </c>
      <c r="F91" s="25">
        <f>SUM(E91-D91)</f>
      </c>
      <c r="G91" s="4" t="s">
        <v>132</v>
      </c>
      <c r="H91" s="4" t="s">
        <v>45</v>
      </c>
      <c r="I91" s="26"/>
    </row>
    <row x14ac:dyDescent="0.25" r="92" customHeight="1" ht="18">
      <c r="A92" s="4"/>
      <c r="B92" s="4" t="s">
        <v>103</v>
      </c>
      <c r="C92" s="28"/>
      <c r="D92" s="6">
        <v>20</v>
      </c>
      <c r="E92" s="6">
        <v>40</v>
      </c>
      <c r="F92" s="25">
        <f>SUM(E92-D92)</f>
      </c>
      <c r="G92" s="4" t="s">
        <v>132</v>
      </c>
      <c r="H92" s="4" t="s">
        <v>46</v>
      </c>
      <c r="I92" s="26"/>
    </row>
    <row x14ac:dyDescent="0.25" r="93" customHeight="1" ht="18">
      <c r="A93" s="4"/>
      <c r="B93" s="4" t="s">
        <v>152</v>
      </c>
      <c r="C93" s="43" t="s">
        <v>153</v>
      </c>
      <c r="D93" s="6">
        <v>1053</v>
      </c>
      <c r="E93" s="6">
        <v>1563</v>
      </c>
      <c r="F93" s="25">
        <f>SUM(E93-D93)</f>
      </c>
      <c r="G93" s="4" t="s">
        <v>132</v>
      </c>
      <c r="H93" s="4" t="s">
        <v>46</v>
      </c>
      <c r="I93" s="26"/>
    </row>
    <row x14ac:dyDescent="0.25" r="94" customHeight="1" ht="18">
      <c r="A94" s="4"/>
      <c r="B94" s="4" t="s">
        <v>103</v>
      </c>
      <c r="C94" s="28"/>
      <c r="D94" s="6">
        <v>10</v>
      </c>
      <c r="E94" s="6">
        <v>20</v>
      </c>
      <c r="F94" s="25">
        <f>SUM(E94-D94)</f>
      </c>
      <c r="G94" s="4" t="s">
        <v>132</v>
      </c>
      <c r="H94" s="4" t="s">
        <v>46</v>
      </c>
      <c r="I94" s="26"/>
    </row>
    <row x14ac:dyDescent="0.25" r="95" customHeight="1" ht="18">
      <c r="A95" s="4"/>
      <c r="B95" s="4" t="s">
        <v>154</v>
      </c>
      <c r="C95" s="43" t="s">
        <v>155</v>
      </c>
      <c r="D95" s="6">
        <v>1480</v>
      </c>
      <c r="E95" s="6">
        <v>1500</v>
      </c>
      <c r="F95" s="25">
        <f>SUM(E95-D95)</f>
      </c>
      <c r="G95" s="4" t="s">
        <v>132</v>
      </c>
      <c r="H95" s="4" t="s">
        <v>46</v>
      </c>
      <c r="I95" s="26"/>
    </row>
    <row x14ac:dyDescent="0.25" r="96" customHeight="1" ht="18">
      <c r="A96" s="4"/>
      <c r="B96" s="4" t="s">
        <v>103</v>
      </c>
      <c r="C96" s="28"/>
      <c r="D96" s="6">
        <v>10</v>
      </c>
      <c r="E96" s="6">
        <v>20</v>
      </c>
      <c r="F96" s="25">
        <f>SUM(E96-D96)</f>
      </c>
      <c r="G96" s="4" t="s">
        <v>132</v>
      </c>
      <c r="H96" s="4" t="s">
        <v>46</v>
      </c>
      <c r="I96" s="26"/>
    </row>
    <row x14ac:dyDescent="0.25" r="97" customHeight="1" ht="18">
      <c r="A97" s="4"/>
      <c r="B97" s="4" t="s">
        <v>156</v>
      </c>
      <c r="C97" s="43" t="s">
        <v>157</v>
      </c>
      <c r="D97" s="6">
        <v>19554</v>
      </c>
      <c r="E97" s="6">
        <v>22504</v>
      </c>
      <c r="F97" s="25">
        <f>SUM(E97-D97)</f>
      </c>
      <c r="G97" s="4" t="s">
        <v>132</v>
      </c>
      <c r="H97" s="4" t="s">
        <v>45</v>
      </c>
      <c r="I97" s="26"/>
    </row>
    <row x14ac:dyDescent="0.25" r="98" customHeight="1" ht="18">
      <c r="A98" s="4"/>
      <c r="B98" s="4" t="s">
        <v>103</v>
      </c>
      <c r="C98" s="28"/>
      <c r="D98" s="6">
        <v>30</v>
      </c>
      <c r="E98" s="6">
        <v>60</v>
      </c>
      <c r="F98" s="25">
        <f>SUM(E98-D98)</f>
      </c>
      <c r="G98" s="4" t="s">
        <v>132</v>
      </c>
      <c r="H98" s="4" t="s">
        <v>46</v>
      </c>
      <c r="I98" s="26"/>
    </row>
    <row x14ac:dyDescent="0.25" r="99" customHeight="1" ht="18">
      <c r="A99" s="4"/>
      <c r="B99" s="4"/>
      <c r="C99" s="28"/>
      <c r="D99" s="31" t="s">
        <v>6</v>
      </c>
      <c r="E99" s="9" t="s">
        <v>6</v>
      </c>
      <c r="F99" s="25"/>
      <c r="G99" s="7"/>
      <c r="H99" s="4"/>
      <c r="I99" s="26"/>
    </row>
    <row x14ac:dyDescent="0.25" r="100" customHeight="1" ht="18">
      <c r="A100" s="4" t="s">
        <v>158</v>
      </c>
      <c r="B100" s="4" t="s">
        <v>159</v>
      </c>
      <c r="C100" s="28"/>
      <c r="D100" s="30">
        <v>264</v>
      </c>
      <c r="E100" s="6">
        <v>264</v>
      </c>
      <c r="F100" s="25"/>
      <c r="G100" s="7" t="s">
        <v>158</v>
      </c>
      <c r="H100" s="4" t="s">
        <v>47</v>
      </c>
      <c r="I100" s="26"/>
    </row>
    <row x14ac:dyDescent="0.25" r="101" customHeight="1" ht="18">
      <c r="A101" s="4"/>
      <c r="B101" s="4"/>
      <c r="C101" s="28"/>
      <c r="D101" s="6"/>
      <c r="E101" s="6"/>
      <c r="F101" s="25"/>
      <c r="G101" s="7"/>
      <c r="H101" s="4"/>
      <c r="I101" s="26"/>
    </row>
    <row x14ac:dyDescent="0.25" r="102" customHeight="1" ht="18">
      <c r="A102" s="4" t="s">
        <v>160</v>
      </c>
      <c r="B102" s="4" t="s">
        <v>82</v>
      </c>
      <c r="C102" s="24" t="s">
        <v>161</v>
      </c>
      <c r="D102" s="6">
        <v>1660</v>
      </c>
      <c r="E102" s="6">
        <v>3120</v>
      </c>
      <c r="F102" s="25"/>
      <c r="G102" s="7" t="s">
        <v>162</v>
      </c>
      <c r="H102" s="4" t="s">
        <v>46</v>
      </c>
      <c r="I102" s="26"/>
    </row>
    <row x14ac:dyDescent="0.25" r="103" customHeight="1" ht="18">
      <c r="A103" s="4"/>
      <c r="B103" s="4" t="s">
        <v>85</v>
      </c>
      <c r="C103" s="24" t="s">
        <v>163</v>
      </c>
      <c r="D103" s="6">
        <v>1010</v>
      </c>
      <c r="E103" s="6"/>
      <c r="F103" s="25"/>
      <c r="G103" s="7"/>
      <c r="H103" s="4" t="s">
        <v>46</v>
      </c>
      <c r="I103" s="26"/>
    </row>
    <row x14ac:dyDescent="0.25" r="104" customHeight="1" ht="18">
      <c r="A104" s="4"/>
      <c r="B104" s="4" t="s">
        <v>164</v>
      </c>
      <c r="C104" s="28" t="s">
        <v>165</v>
      </c>
      <c r="D104" s="30">
        <v>450</v>
      </c>
      <c r="E104" s="6"/>
      <c r="F104" s="25"/>
      <c r="G104" s="7"/>
      <c r="H104" s="4" t="s">
        <v>48</v>
      </c>
      <c r="I104" s="26"/>
    </row>
    <row x14ac:dyDescent="0.25" r="105" customHeight="1" ht="18">
      <c r="A105" s="4"/>
      <c r="B105" s="4"/>
      <c r="C105" s="28"/>
      <c r="D105" s="6"/>
      <c r="E105" s="6"/>
      <c r="F105" s="25"/>
      <c r="G105" s="7"/>
      <c r="H105" s="4"/>
      <c r="I105" s="26"/>
    </row>
    <row x14ac:dyDescent="0.25" r="106" customHeight="1" ht="18">
      <c r="A106" s="5" t="s">
        <v>166</v>
      </c>
      <c r="B106" s="4" t="s">
        <v>82</v>
      </c>
      <c r="C106" s="28" t="s">
        <v>167</v>
      </c>
      <c r="D106" s="6">
        <v>3650</v>
      </c>
      <c r="E106" s="6">
        <v>9252</v>
      </c>
      <c r="F106" s="25">
        <v>-641</v>
      </c>
      <c r="G106" s="7" t="s">
        <v>168</v>
      </c>
      <c r="H106" s="4" t="s">
        <v>46</v>
      </c>
      <c r="I106" s="26" t="s">
        <v>169</v>
      </c>
    </row>
    <row x14ac:dyDescent="0.25" r="107" customHeight="1" ht="18">
      <c r="A107" s="4"/>
      <c r="B107" s="4" t="s">
        <v>85</v>
      </c>
      <c r="C107" s="48" t="s">
        <v>170</v>
      </c>
      <c r="D107" s="6">
        <v>1750</v>
      </c>
      <c r="E107" s="9" t="s">
        <v>6</v>
      </c>
      <c r="F107" s="25"/>
      <c r="G107" s="7"/>
      <c r="H107" s="4" t="s">
        <v>46</v>
      </c>
      <c r="I107" s="26" t="s">
        <v>171</v>
      </c>
    </row>
    <row x14ac:dyDescent="0.25" r="108" customHeight="1" ht="18">
      <c r="A108" s="4"/>
      <c r="B108" s="4" t="s">
        <v>172</v>
      </c>
      <c r="C108" s="24" t="s">
        <v>173</v>
      </c>
      <c r="D108" s="6">
        <v>252</v>
      </c>
      <c r="E108" s="6"/>
      <c r="F108" s="25"/>
      <c r="G108" s="7"/>
      <c r="H108" s="4" t="s">
        <v>46</v>
      </c>
      <c r="I108" s="26"/>
    </row>
    <row x14ac:dyDescent="0.25" r="109" customHeight="1" ht="18">
      <c r="A109" s="4"/>
      <c r="B109" s="4" t="s">
        <v>174</v>
      </c>
      <c r="C109" s="24" t="s">
        <v>175</v>
      </c>
      <c r="D109" s="6">
        <v>1750</v>
      </c>
      <c r="E109" s="6"/>
      <c r="F109" s="25"/>
      <c r="G109" s="7"/>
      <c r="H109" s="4" t="s">
        <v>48</v>
      </c>
      <c r="I109" s="49" t="s">
        <v>176</v>
      </c>
    </row>
    <row x14ac:dyDescent="0.25" r="110" customHeight="1" ht="18">
      <c r="A110" s="4"/>
      <c r="B110" s="4" t="s">
        <v>164</v>
      </c>
      <c r="C110" s="28" t="s">
        <v>177</v>
      </c>
      <c r="D110" s="30">
        <v>2491</v>
      </c>
      <c r="E110" s="6"/>
      <c r="F110" s="25"/>
      <c r="G110" s="7"/>
      <c r="H110" s="4" t="s">
        <v>6</v>
      </c>
      <c r="I110" s="26"/>
    </row>
    <row x14ac:dyDescent="0.25" r="111" customHeight="1" ht="18">
      <c r="A111" s="4"/>
      <c r="B111" s="4"/>
      <c r="C111" s="28"/>
      <c r="D111" s="6"/>
      <c r="E111" s="6"/>
      <c r="F111" s="25"/>
      <c r="G111" s="7"/>
      <c r="H111" s="4"/>
      <c r="I111" s="26"/>
    </row>
    <row x14ac:dyDescent="0.25" r="112" customHeight="1" ht="18">
      <c r="A112" s="5" t="s">
        <v>178</v>
      </c>
      <c r="B112" s="4" t="s">
        <v>82</v>
      </c>
      <c r="C112" s="24" t="s">
        <v>179</v>
      </c>
      <c r="D112" s="6">
        <v>1895</v>
      </c>
      <c r="E112" s="6">
        <v>3350</v>
      </c>
      <c r="F112" s="25">
        <v>145</v>
      </c>
      <c r="G112" s="7" t="s">
        <v>180</v>
      </c>
      <c r="H112" s="4" t="s">
        <v>46</v>
      </c>
      <c r="I112" s="26" t="s">
        <v>181</v>
      </c>
    </row>
    <row x14ac:dyDescent="0.25" r="113" customHeight="1" ht="18">
      <c r="A113" s="4"/>
      <c r="B113" s="4" t="s">
        <v>85</v>
      </c>
      <c r="C113" s="24" t="s">
        <v>182</v>
      </c>
      <c r="D113" s="6">
        <v>904</v>
      </c>
      <c r="E113" s="9" t="s">
        <v>6</v>
      </c>
      <c r="F113" s="25"/>
      <c r="G113" s="7"/>
      <c r="H113" s="4" t="s">
        <v>46</v>
      </c>
      <c r="I113" s="26"/>
    </row>
    <row x14ac:dyDescent="0.25" r="114" customHeight="1" ht="18">
      <c r="A114" s="4"/>
      <c r="B114" s="4" t="s">
        <v>164</v>
      </c>
      <c r="C114" s="28" t="s">
        <v>183</v>
      </c>
      <c r="D114" s="30">
        <v>406</v>
      </c>
      <c r="E114" s="6"/>
      <c r="F114" s="25"/>
      <c r="G114" s="7"/>
      <c r="H114" s="4" t="s">
        <v>48</v>
      </c>
      <c r="I114" s="26"/>
    </row>
    <row x14ac:dyDescent="0.25" r="115" customHeight="1" ht="18">
      <c r="A115" s="4"/>
      <c r="B115" s="4"/>
      <c r="C115" s="28"/>
      <c r="D115" s="6"/>
      <c r="E115" s="6"/>
      <c r="F115" s="25"/>
      <c r="G115" s="7"/>
      <c r="H115" s="4"/>
      <c r="I115" s="26"/>
    </row>
    <row x14ac:dyDescent="0.25" r="116" customHeight="1" ht="18">
      <c r="A116" s="4" t="s">
        <v>184</v>
      </c>
      <c r="B116" s="4" t="s">
        <v>82</v>
      </c>
      <c r="C116" s="24" t="s">
        <v>185</v>
      </c>
      <c r="D116" s="6">
        <v>1895</v>
      </c>
      <c r="E116" s="6">
        <v>4570</v>
      </c>
      <c r="F116" s="25">
        <v>125</v>
      </c>
      <c r="G116" s="7" t="s">
        <v>168</v>
      </c>
      <c r="H116" s="4" t="s">
        <v>46</v>
      </c>
      <c r="I116" s="49" t="s">
        <v>186</v>
      </c>
    </row>
    <row x14ac:dyDescent="0.25" r="117" customHeight="1" ht="18">
      <c r="A117" s="4"/>
      <c r="B117" s="4" t="s">
        <v>85</v>
      </c>
      <c r="C117" s="24" t="s">
        <v>187</v>
      </c>
      <c r="D117" s="6">
        <v>1750</v>
      </c>
      <c r="E117" s="9" t="s">
        <v>6</v>
      </c>
      <c r="F117" s="25"/>
      <c r="G117" s="7"/>
      <c r="H117" s="4" t="s">
        <v>46</v>
      </c>
      <c r="I117" s="26"/>
    </row>
    <row x14ac:dyDescent="0.25" r="118" customHeight="1" ht="18">
      <c r="A118" s="4"/>
      <c r="B118" s="4" t="s">
        <v>164</v>
      </c>
      <c r="C118" s="28" t="s">
        <v>188</v>
      </c>
      <c r="D118" s="30">
        <v>800</v>
      </c>
      <c r="E118" s="6"/>
      <c r="F118" s="25"/>
      <c r="G118" s="7"/>
      <c r="H118" s="4" t="s">
        <v>48</v>
      </c>
      <c r="I118" s="26"/>
    </row>
    <row x14ac:dyDescent="0.25" r="119" customHeight="1" ht="18">
      <c r="A119" s="4"/>
      <c r="B119" s="4"/>
      <c r="C119" s="28"/>
      <c r="D119" s="6"/>
      <c r="E119" s="6"/>
      <c r="F119" s="25"/>
      <c r="G119" s="7"/>
      <c r="H119" s="4"/>
      <c r="I119" s="26"/>
    </row>
    <row x14ac:dyDescent="0.25" r="120" customHeight="1" ht="18">
      <c r="A120" s="4" t="s">
        <v>189</v>
      </c>
      <c r="B120" s="4" t="s">
        <v>190</v>
      </c>
      <c r="C120" s="28" t="s">
        <v>191</v>
      </c>
      <c r="D120" s="30">
        <v>1230</v>
      </c>
      <c r="E120" s="6">
        <v>4334</v>
      </c>
      <c r="F120" s="25">
        <v>-690</v>
      </c>
      <c r="G120" s="7" t="s">
        <v>192</v>
      </c>
      <c r="H120" s="4" t="s">
        <v>47</v>
      </c>
      <c r="I120" s="26"/>
    </row>
    <row x14ac:dyDescent="0.25" r="121" customHeight="1" ht="18">
      <c r="A121" s="4"/>
      <c r="B121" s="4" t="s">
        <v>193</v>
      </c>
      <c r="C121" s="28" t="s">
        <v>194</v>
      </c>
      <c r="D121" s="30">
        <v>1112</v>
      </c>
      <c r="E121" s="9" t="s">
        <v>6</v>
      </c>
      <c r="F121" s="25"/>
      <c r="G121" s="7"/>
      <c r="H121" s="4" t="s">
        <v>47</v>
      </c>
      <c r="I121" s="26"/>
    </row>
    <row x14ac:dyDescent="0.25" r="122" customHeight="1" ht="18">
      <c r="A122" s="4"/>
      <c r="B122" s="4" t="s">
        <v>195</v>
      </c>
      <c r="C122" s="28" t="s">
        <v>196</v>
      </c>
      <c r="D122" s="30">
        <v>2682</v>
      </c>
      <c r="E122" s="6"/>
      <c r="F122" s="25"/>
      <c r="G122" s="7"/>
      <c r="H122" s="4" t="s">
        <v>48</v>
      </c>
      <c r="I122" s="26"/>
    </row>
    <row x14ac:dyDescent="0.25" r="123" customHeight="1" ht="18">
      <c r="A123" s="4"/>
      <c r="B123" s="4"/>
      <c r="C123" s="28"/>
      <c r="D123" s="6"/>
      <c r="E123" s="6"/>
      <c r="F123" s="25"/>
      <c r="G123" s="7"/>
      <c r="H123" s="4"/>
      <c r="I123" s="26"/>
    </row>
    <row x14ac:dyDescent="0.25" r="124" customHeight="1" ht="18">
      <c r="A124" s="4" t="s">
        <v>197</v>
      </c>
      <c r="B124" s="4" t="s">
        <v>190</v>
      </c>
      <c r="C124" s="28" t="s">
        <v>191</v>
      </c>
      <c r="D124" s="30">
        <v>1230</v>
      </c>
      <c r="E124" s="6">
        <v>4223</v>
      </c>
      <c r="F124" s="25">
        <v>-119</v>
      </c>
      <c r="G124" s="7" t="s">
        <v>198</v>
      </c>
      <c r="H124" s="4" t="s">
        <v>47</v>
      </c>
      <c r="I124" s="26"/>
    </row>
    <row x14ac:dyDescent="0.25" r="125" customHeight="1" ht="18">
      <c r="A125" s="4"/>
      <c r="B125" s="4" t="s">
        <v>193</v>
      </c>
      <c r="C125" s="28" t="s">
        <v>194</v>
      </c>
      <c r="D125" s="30">
        <v>1112</v>
      </c>
      <c r="E125" s="9" t="s">
        <v>6</v>
      </c>
      <c r="F125" s="25"/>
      <c r="G125" s="7"/>
      <c r="H125" s="4" t="s">
        <v>47</v>
      </c>
      <c r="I125" s="26"/>
    </row>
    <row x14ac:dyDescent="0.25" r="126" customHeight="1" ht="18">
      <c r="A126" s="4"/>
      <c r="B126" s="4" t="s">
        <v>195</v>
      </c>
      <c r="C126" s="28" t="s">
        <v>199</v>
      </c>
      <c r="D126" s="30">
        <v>2000</v>
      </c>
      <c r="E126" s="6"/>
      <c r="F126" s="25"/>
      <c r="G126" s="7"/>
      <c r="H126" s="4" t="s">
        <v>48</v>
      </c>
      <c r="I126" s="26"/>
    </row>
    <row x14ac:dyDescent="0.25" r="127" customHeight="1" ht="18">
      <c r="A127" s="4"/>
      <c r="B127" s="4"/>
      <c r="C127" s="28"/>
      <c r="D127" s="6"/>
      <c r="E127" s="6"/>
      <c r="F127" s="25"/>
      <c r="G127" s="7"/>
      <c r="H127" s="4"/>
      <c r="I127" s="26"/>
    </row>
    <row x14ac:dyDescent="0.25" r="128" customHeight="1" ht="18">
      <c r="A128" s="4"/>
      <c r="B128" s="4" t="s">
        <v>200</v>
      </c>
      <c r="C128" s="28"/>
      <c r="D128" s="30">
        <v>4120</v>
      </c>
      <c r="E128" s="6">
        <v>7960</v>
      </c>
      <c r="F128" s="25">
        <v>3840</v>
      </c>
      <c r="G128" s="7" t="s">
        <v>198</v>
      </c>
      <c r="H128" s="4" t="s">
        <v>47</v>
      </c>
      <c r="I128" s="26" t="s">
        <v>201</v>
      </c>
    </row>
    <row x14ac:dyDescent="0.25" r="129" customHeight="1" ht="18">
      <c r="A129" s="4"/>
      <c r="B129" s="4"/>
      <c r="C129" s="28"/>
      <c r="D129" s="6"/>
      <c r="E129" s="9" t="s">
        <v>6</v>
      </c>
      <c r="F129" s="25"/>
      <c r="G129" s="7"/>
      <c r="H129" s="4"/>
      <c r="I129" s="26" t="s">
        <v>202</v>
      </c>
    </row>
    <row x14ac:dyDescent="0.25" r="130" customHeight="1" ht="18">
      <c r="A130" s="4" t="s">
        <v>203</v>
      </c>
      <c r="B130" s="4" t="s">
        <v>74</v>
      </c>
      <c r="C130" s="24" t="s">
        <v>204</v>
      </c>
      <c r="D130" s="6">
        <v>1480</v>
      </c>
      <c r="E130" s="6">
        <v>4584</v>
      </c>
      <c r="F130" s="25">
        <v>-8</v>
      </c>
      <c r="G130" s="7" t="s">
        <v>205</v>
      </c>
      <c r="H130" s="4" t="s">
        <v>46</v>
      </c>
      <c r="I130" s="26"/>
    </row>
    <row x14ac:dyDescent="0.25" r="131" customHeight="1" ht="18">
      <c r="A131" s="4"/>
      <c r="B131" s="4" t="s">
        <v>193</v>
      </c>
      <c r="C131" s="28" t="s">
        <v>206</v>
      </c>
      <c r="D131" s="6">
        <v>1112</v>
      </c>
      <c r="E131" s="9" t="s">
        <v>6</v>
      </c>
      <c r="F131" s="25"/>
      <c r="G131" s="7"/>
      <c r="H131" s="4" t="s">
        <v>46</v>
      </c>
      <c r="I131" s="26"/>
    </row>
    <row x14ac:dyDescent="0.25" r="132" customHeight="1" ht="18">
      <c r="A132" s="4"/>
      <c r="B132" s="4" t="s">
        <v>195</v>
      </c>
      <c r="C132" s="28" t="s">
        <v>207</v>
      </c>
      <c r="D132" s="30">
        <v>2000</v>
      </c>
      <c r="E132" s="6"/>
      <c r="F132" s="25"/>
      <c r="G132" s="7"/>
      <c r="H132" s="4" t="s">
        <v>48</v>
      </c>
      <c r="I132" s="26"/>
    </row>
    <row x14ac:dyDescent="0.25" r="133" customHeight="1" ht="18">
      <c r="A133" s="4"/>
      <c r="B133" s="4"/>
      <c r="C133" s="28"/>
      <c r="D133" s="6"/>
      <c r="E133" s="6"/>
      <c r="F133" s="25"/>
      <c r="G133" s="7"/>
      <c r="H133" s="4"/>
      <c r="I133" s="26"/>
    </row>
    <row x14ac:dyDescent="0.25" r="134" customHeight="1" ht="18">
      <c r="A134" s="4" t="s">
        <v>208</v>
      </c>
      <c r="B134" s="4" t="s">
        <v>190</v>
      </c>
      <c r="C134" s="28" t="s">
        <v>209</v>
      </c>
      <c r="D134" s="30">
        <v>615</v>
      </c>
      <c r="E134" s="6">
        <v>3756</v>
      </c>
      <c r="F134" s="25">
        <v>-6</v>
      </c>
      <c r="G134" s="7" t="s">
        <v>158</v>
      </c>
      <c r="H134" s="4" t="s">
        <v>47</v>
      </c>
      <c r="I134" s="26"/>
    </row>
    <row x14ac:dyDescent="0.25" r="135" customHeight="1" ht="18">
      <c r="A135" s="4"/>
      <c r="B135" s="4" t="s">
        <v>190</v>
      </c>
      <c r="C135" s="28" t="s">
        <v>210</v>
      </c>
      <c r="D135" s="30">
        <v>535</v>
      </c>
      <c r="E135" s="9" t="s">
        <v>6</v>
      </c>
      <c r="F135" s="25"/>
      <c r="G135" s="7"/>
      <c r="H135" s="4" t="s">
        <v>47</v>
      </c>
      <c r="I135" s="26"/>
    </row>
    <row x14ac:dyDescent="0.25" r="136" customHeight="1" ht="18">
      <c r="A136" s="4"/>
      <c r="B136" s="4" t="s">
        <v>193</v>
      </c>
      <c r="C136" s="28" t="s">
        <v>211</v>
      </c>
      <c r="D136" s="30">
        <v>556</v>
      </c>
      <c r="E136" s="6"/>
      <c r="F136" s="25"/>
      <c r="G136" s="7"/>
      <c r="H136" s="4" t="s">
        <v>47</v>
      </c>
      <c r="I136" s="26"/>
    </row>
    <row x14ac:dyDescent="0.25" r="137" customHeight="1" ht="18">
      <c r="A137" s="4"/>
      <c r="B137" s="4" t="s">
        <v>193</v>
      </c>
      <c r="C137" s="28" t="s">
        <v>212</v>
      </c>
      <c r="D137" s="30">
        <v>556</v>
      </c>
      <c r="E137" s="6"/>
      <c r="F137" s="25"/>
      <c r="G137" s="7"/>
      <c r="H137" s="4" t="s">
        <v>47</v>
      </c>
      <c r="I137" s="26"/>
    </row>
    <row x14ac:dyDescent="0.25" r="138" customHeight="1" ht="18">
      <c r="A138" s="4"/>
      <c r="B138" s="4" t="s">
        <v>195</v>
      </c>
      <c r="C138" s="28" t="s">
        <v>213</v>
      </c>
      <c r="D138" s="30">
        <v>1500</v>
      </c>
      <c r="E138" s="6"/>
      <c r="F138" s="25"/>
      <c r="G138" s="7"/>
      <c r="H138" s="4" t="s">
        <v>48</v>
      </c>
      <c r="I138" s="26"/>
    </row>
    <row x14ac:dyDescent="0.25" r="139" customHeight="1" ht="18">
      <c r="A139" s="4"/>
      <c r="B139" s="4"/>
      <c r="C139" s="28"/>
      <c r="D139" s="6"/>
      <c r="E139" s="6"/>
      <c r="F139" s="25"/>
      <c r="G139" s="7"/>
      <c r="H139" s="4"/>
      <c r="I139" s="26"/>
    </row>
    <row x14ac:dyDescent="0.25" r="140" customHeight="1" ht="18">
      <c r="A140" s="4" t="s">
        <v>214</v>
      </c>
      <c r="B140" s="4" t="s">
        <v>82</v>
      </c>
      <c r="C140" s="24" t="s">
        <v>215</v>
      </c>
      <c r="D140" s="6">
        <v>895</v>
      </c>
      <c r="E140" s="6">
        <v>940</v>
      </c>
      <c r="F140" s="25">
        <v>45</v>
      </c>
      <c r="G140" s="7" t="s">
        <v>216</v>
      </c>
      <c r="H140" s="4" t="s">
        <v>46</v>
      </c>
      <c r="I140" s="26"/>
    </row>
    <row x14ac:dyDescent="0.25" r="141" customHeight="1" ht="18">
      <c r="A141" s="4"/>
      <c r="B141" s="4"/>
      <c r="C141" s="28"/>
      <c r="D141" s="6"/>
      <c r="E141" s="9" t="s">
        <v>6</v>
      </c>
      <c r="F141" s="25"/>
      <c r="G141" s="7"/>
      <c r="H141" s="4"/>
      <c r="I141" s="26"/>
    </row>
    <row x14ac:dyDescent="0.25" r="142" customHeight="1" ht="18">
      <c r="A142" s="34" t="s">
        <v>217</v>
      </c>
      <c r="B142" s="4" t="s">
        <v>82</v>
      </c>
      <c r="C142" s="35" t="s">
        <v>218</v>
      </c>
      <c r="D142" s="6">
        <v>3990</v>
      </c>
      <c r="E142" s="6">
        <v>12210</v>
      </c>
      <c r="F142" s="25">
        <v>-495</v>
      </c>
      <c r="G142" s="7" t="s">
        <v>168</v>
      </c>
      <c r="H142" s="4" t="s">
        <v>46</v>
      </c>
      <c r="I142" s="26" t="s">
        <v>219</v>
      </c>
    </row>
    <row x14ac:dyDescent="0.25" r="143" customHeight="1" ht="18">
      <c r="A143" s="4"/>
      <c r="B143" s="4" t="s">
        <v>85</v>
      </c>
      <c r="C143" s="35" t="s">
        <v>220</v>
      </c>
      <c r="D143" s="6">
        <v>5145</v>
      </c>
      <c r="E143" s="9" t="s">
        <v>6</v>
      </c>
      <c r="F143" s="25"/>
      <c r="G143" s="7"/>
      <c r="H143" s="4" t="s">
        <v>46</v>
      </c>
      <c r="I143" s="50" t="s">
        <v>6</v>
      </c>
    </row>
    <row x14ac:dyDescent="0.25" r="144" customHeight="1" ht="18">
      <c r="A144" s="4"/>
      <c r="B144" s="4" t="s">
        <v>103</v>
      </c>
      <c r="C144" s="28"/>
      <c r="D144" s="6">
        <v>60</v>
      </c>
      <c r="E144" s="6"/>
      <c r="F144" s="25"/>
      <c r="G144" s="7"/>
      <c r="H144" s="4" t="s">
        <v>46</v>
      </c>
      <c r="I144" s="50" t="s">
        <v>6</v>
      </c>
    </row>
    <row x14ac:dyDescent="0.25" r="145" customHeight="1" ht="18">
      <c r="A145" s="4"/>
      <c r="B145" s="4" t="s">
        <v>164</v>
      </c>
      <c r="C145" s="28" t="s">
        <v>221</v>
      </c>
      <c r="D145" s="30">
        <v>3510</v>
      </c>
      <c r="E145" s="6"/>
      <c r="F145" s="25"/>
      <c r="G145" s="7"/>
      <c r="H145" s="4" t="s">
        <v>48</v>
      </c>
      <c r="I145" s="26"/>
    </row>
    <row x14ac:dyDescent="0.25" r="146" customHeight="1" ht="18">
      <c r="A146" s="4"/>
      <c r="B146" s="4"/>
      <c r="C146" s="28"/>
      <c r="D146" s="6"/>
      <c r="E146" s="6"/>
      <c r="F146" s="25"/>
      <c r="G146" s="7"/>
      <c r="H146" s="4"/>
      <c r="I146" s="26"/>
    </row>
    <row x14ac:dyDescent="0.25" r="147" customHeight="1" ht="18">
      <c r="A147" s="4" t="s">
        <v>222</v>
      </c>
      <c r="B147" s="4" t="s">
        <v>74</v>
      </c>
      <c r="C147" s="35" t="s">
        <v>223</v>
      </c>
      <c r="D147" s="6">
        <v>820</v>
      </c>
      <c r="E147" s="6">
        <v>849</v>
      </c>
      <c r="F147" s="29" t="s">
        <v>6</v>
      </c>
      <c r="G147" s="7" t="s">
        <v>158</v>
      </c>
      <c r="H147" s="4" t="s">
        <v>46</v>
      </c>
      <c r="I147" s="26"/>
    </row>
    <row x14ac:dyDescent="0.25" r="148" customHeight="1" ht="18">
      <c r="A148" s="4"/>
      <c r="B148" s="4" t="s">
        <v>74</v>
      </c>
      <c r="C148" s="40" t="s">
        <v>224</v>
      </c>
      <c r="D148" s="6">
        <v>-295</v>
      </c>
      <c r="E148" s="9" t="s">
        <v>6</v>
      </c>
      <c r="F148" s="25"/>
      <c r="G148" s="7"/>
      <c r="H148" s="4" t="s">
        <v>46</v>
      </c>
      <c r="I148" s="26"/>
    </row>
    <row x14ac:dyDescent="0.25" r="149" customHeight="1" ht="18">
      <c r="A149" s="4"/>
      <c r="B149" s="4" t="s">
        <v>77</v>
      </c>
      <c r="C149" s="35" t="s">
        <v>225</v>
      </c>
      <c r="D149" s="6">
        <v>863</v>
      </c>
      <c r="E149" s="6"/>
      <c r="F149" s="25"/>
      <c r="G149" s="7"/>
      <c r="H149" s="4" t="s">
        <v>46</v>
      </c>
      <c r="I149" s="26"/>
    </row>
    <row x14ac:dyDescent="0.25" r="150" customHeight="1" ht="18">
      <c r="A150" s="4"/>
      <c r="B150" s="4" t="s">
        <v>77</v>
      </c>
      <c r="C150" s="40" t="s">
        <v>226</v>
      </c>
      <c r="D150" s="6">
        <v>-539</v>
      </c>
      <c r="E150" s="6"/>
      <c r="F150" s="25"/>
      <c r="G150" s="7"/>
      <c r="H150" s="4" t="s">
        <v>46</v>
      </c>
      <c r="I150" s="26"/>
    </row>
    <row x14ac:dyDescent="0.25" r="151" customHeight="1" ht="18">
      <c r="A151" s="4"/>
      <c r="B151" s="4"/>
      <c r="C151" s="28"/>
      <c r="D151" s="31" t="s">
        <v>6</v>
      </c>
      <c r="E151" s="6"/>
      <c r="F151" s="25"/>
      <c r="G151" s="7"/>
      <c r="H151" s="4"/>
      <c r="I151" s="26"/>
    </row>
    <row x14ac:dyDescent="0.25" r="152" customHeight="1" ht="18">
      <c r="A152" s="4" t="s">
        <v>227</v>
      </c>
      <c r="B152" s="4" t="s">
        <v>74</v>
      </c>
      <c r="C152" s="35" t="s">
        <v>228</v>
      </c>
      <c r="D152" s="6">
        <v>820</v>
      </c>
      <c r="E152" s="6">
        <v>5273</v>
      </c>
      <c r="F152" s="25">
        <v>-59</v>
      </c>
      <c r="G152" s="7" t="s">
        <v>158</v>
      </c>
      <c r="H152" s="4" t="s">
        <v>46</v>
      </c>
      <c r="I152" s="26" t="s">
        <v>229</v>
      </c>
    </row>
    <row x14ac:dyDescent="0.25" r="153" customHeight="1" ht="18">
      <c r="A153" s="4"/>
      <c r="B153" s="4" t="s">
        <v>230</v>
      </c>
      <c r="C153" s="39" t="s">
        <v>231</v>
      </c>
      <c r="D153" s="6">
        <v>720</v>
      </c>
      <c r="E153" s="9" t="s">
        <v>6</v>
      </c>
      <c r="F153" s="25"/>
      <c r="G153" s="7"/>
      <c r="H153" s="4" t="s">
        <v>46</v>
      </c>
      <c r="I153" s="26"/>
    </row>
    <row x14ac:dyDescent="0.25" r="154" customHeight="1" ht="18">
      <c r="A154" s="4"/>
      <c r="B154" s="4" t="s">
        <v>230</v>
      </c>
      <c r="C154" s="40" t="s">
        <v>232</v>
      </c>
      <c r="D154" s="6">
        <v>-460</v>
      </c>
      <c r="E154" s="6"/>
      <c r="F154" s="25"/>
      <c r="G154" s="7"/>
      <c r="H154" s="4" t="s">
        <v>46</v>
      </c>
      <c r="I154" s="26"/>
    </row>
    <row x14ac:dyDescent="0.25" r="155" customHeight="1" ht="18">
      <c r="A155" s="4"/>
      <c r="B155" s="4" t="s">
        <v>233</v>
      </c>
      <c r="C155" s="35" t="s">
        <v>234</v>
      </c>
      <c r="D155" s="6">
        <v>1060</v>
      </c>
      <c r="E155" s="6"/>
      <c r="F155" s="25"/>
      <c r="G155" s="7"/>
      <c r="H155" s="4" t="s">
        <v>45</v>
      </c>
      <c r="I155" s="26"/>
    </row>
    <row x14ac:dyDescent="0.25" r="156" customHeight="1" ht="18">
      <c r="A156" s="4"/>
      <c r="B156" s="4" t="s">
        <v>85</v>
      </c>
      <c r="C156" s="35" t="s">
        <v>235</v>
      </c>
      <c r="D156" s="6">
        <v>1915</v>
      </c>
      <c r="E156" s="6"/>
      <c r="F156" s="25"/>
      <c r="G156" s="7"/>
      <c r="H156" s="4" t="s">
        <v>46</v>
      </c>
      <c r="I156" s="26"/>
    </row>
    <row x14ac:dyDescent="0.25" r="157" customHeight="1" ht="18">
      <c r="A157" s="4"/>
      <c r="B157" s="4" t="s">
        <v>195</v>
      </c>
      <c r="C157" s="35" t="s">
        <v>236</v>
      </c>
      <c r="D157" s="6">
        <v>732</v>
      </c>
      <c r="E157" s="6"/>
      <c r="F157" s="25"/>
      <c r="G157" s="7"/>
      <c r="H157" s="4" t="s">
        <v>48</v>
      </c>
      <c r="I157" s="26"/>
    </row>
    <row x14ac:dyDescent="0.25" r="158" customHeight="1" ht="18">
      <c r="A158" s="4"/>
      <c r="B158" s="4" t="s">
        <v>164</v>
      </c>
      <c r="C158" s="35" t="s">
        <v>237</v>
      </c>
      <c r="D158" s="6">
        <v>545</v>
      </c>
      <c r="E158" s="6"/>
      <c r="F158" s="25"/>
      <c r="G158" s="7"/>
      <c r="H158" s="4" t="s">
        <v>48</v>
      </c>
      <c r="I158" s="26"/>
    </row>
    <row x14ac:dyDescent="0.25" r="159" customHeight="1" ht="18">
      <c r="A159" s="4"/>
      <c r="B159" s="4"/>
      <c r="C159" s="35"/>
      <c r="D159" s="6"/>
      <c r="E159" s="9" t="s">
        <v>6</v>
      </c>
      <c r="F159" s="25"/>
      <c r="G159" s="7"/>
      <c r="H159" s="4"/>
      <c r="I159" s="26"/>
    </row>
    <row x14ac:dyDescent="0.25" r="160" customHeight="1" ht="18">
      <c r="A160" s="34" t="s">
        <v>238</v>
      </c>
      <c r="B160" s="4" t="s">
        <v>74</v>
      </c>
      <c r="C160" s="35" t="s">
        <v>239</v>
      </c>
      <c r="D160" s="6">
        <v>1830</v>
      </c>
      <c r="E160" s="6">
        <v>4925</v>
      </c>
      <c r="F160" s="25">
        <v>-164</v>
      </c>
      <c r="G160" s="7" t="s">
        <v>205</v>
      </c>
      <c r="H160" s="4" t="s">
        <v>46</v>
      </c>
      <c r="I160" s="26" t="s">
        <v>240</v>
      </c>
    </row>
    <row x14ac:dyDescent="0.25" r="161" customHeight="1" ht="18">
      <c r="A161" s="4"/>
      <c r="B161" s="4" t="s">
        <v>193</v>
      </c>
      <c r="C161" s="35" t="s">
        <v>241</v>
      </c>
      <c r="D161" s="6">
        <v>535</v>
      </c>
      <c r="E161" s="9" t="s">
        <v>6</v>
      </c>
      <c r="F161" s="25"/>
      <c r="G161" s="7"/>
      <c r="H161" s="4" t="s">
        <v>47</v>
      </c>
      <c r="I161" s="26"/>
    </row>
    <row x14ac:dyDescent="0.25" r="162" customHeight="1" ht="18">
      <c r="A162" s="4" t="s">
        <v>242</v>
      </c>
      <c r="B162" s="4" t="s">
        <v>195</v>
      </c>
      <c r="C162" s="35" t="s">
        <v>243</v>
      </c>
      <c r="D162" s="6">
        <v>498</v>
      </c>
      <c r="E162" s="6"/>
      <c r="F162" s="25"/>
      <c r="G162" s="7"/>
      <c r="H162" s="4" t="s">
        <v>48</v>
      </c>
      <c r="I162" s="26"/>
    </row>
    <row x14ac:dyDescent="0.25" r="163" customHeight="1" ht="18">
      <c r="A163" s="4" t="s">
        <v>244</v>
      </c>
      <c r="B163" s="4" t="s">
        <v>195</v>
      </c>
      <c r="C163" s="35" t="s">
        <v>245</v>
      </c>
      <c r="D163" s="6">
        <v>2226</v>
      </c>
      <c r="E163" s="6"/>
      <c r="F163" s="25"/>
      <c r="G163" s="7"/>
      <c r="H163" s="4" t="s">
        <v>48</v>
      </c>
      <c r="I163" s="26"/>
    </row>
    <row x14ac:dyDescent="0.25" r="164" customHeight="1" ht="18">
      <c r="A164" s="4"/>
      <c r="B164" s="4"/>
      <c r="C164" s="28"/>
      <c r="D164" s="6"/>
      <c r="E164" s="6"/>
      <c r="F164" s="25"/>
      <c r="G164" s="7"/>
      <c r="H164" s="4"/>
      <c r="I164" s="26"/>
    </row>
    <row x14ac:dyDescent="0.25" r="165" customHeight="1" ht="18">
      <c r="A165" s="34" t="s">
        <v>246</v>
      </c>
      <c r="B165" s="4" t="s">
        <v>74</v>
      </c>
      <c r="C165" s="24" t="s">
        <v>247</v>
      </c>
      <c r="D165" s="6">
        <v>768</v>
      </c>
      <c r="E165" s="6">
        <v>4314</v>
      </c>
      <c r="F165" s="25">
        <v>217</v>
      </c>
      <c r="G165" s="7" t="s">
        <v>248</v>
      </c>
      <c r="H165" s="4" t="s">
        <v>46</v>
      </c>
      <c r="I165" s="26"/>
    </row>
    <row x14ac:dyDescent="0.25" r="166" customHeight="1" ht="18">
      <c r="A166" s="4"/>
      <c r="B166" s="4" t="s">
        <v>77</v>
      </c>
      <c r="C166" s="35" t="s">
        <v>249</v>
      </c>
      <c r="D166" s="6">
        <v>670</v>
      </c>
      <c r="E166" s="9" t="s">
        <v>6</v>
      </c>
      <c r="F166" s="25"/>
      <c r="G166" s="7"/>
      <c r="H166" s="4" t="s">
        <v>46</v>
      </c>
      <c r="I166" s="26"/>
    </row>
    <row x14ac:dyDescent="0.25" r="167" customHeight="1" ht="18">
      <c r="A167" s="4" t="s">
        <v>250</v>
      </c>
      <c r="B167" s="4" t="s">
        <v>74</v>
      </c>
      <c r="C167" s="24" t="s">
        <v>251</v>
      </c>
      <c r="D167" s="6">
        <v>640</v>
      </c>
      <c r="E167" s="6"/>
      <c r="F167" s="25"/>
      <c r="G167" s="7"/>
      <c r="H167" s="4" t="s">
        <v>46</v>
      </c>
      <c r="I167" s="26"/>
    </row>
    <row x14ac:dyDescent="0.25" r="168" customHeight="1" ht="18">
      <c r="A168" s="4"/>
      <c r="B168" s="4" t="s">
        <v>77</v>
      </c>
      <c r="C168" s="35" t="s">
        <v>252</v>
      </c>
      <c r="D168" s="6">
        <v>575</v>
      </c>
      <c r="E168" s="6"/>
      <c r="F168" s="25"/>
      <c r="G168" s="7"/>
      <c r="H168" s="4" t="s">
        <v>46</v>
      </c>
      <c r="I168" s="26"/>
    </row>
    <row x14ac:dyDescent="0.25" r="169" customHeight="1" ht="18">
      <c r="A169" s="4"/>
      <c r="B169" s="4" t="s">
        <v>195</v>
      </c>
      <c r="C169" s="28" t="s">
        <v>253</v>
      </c>
      <c r="D169" s="6">
        <v>946</v>
      </c>
      <c r="E169" s="6"/>
      <c r="F169" s="25"/>
      <c r="G169" s="7"/>
      <c r="H169" s="4" t="s">
        <v>48</v>
      </c>
      <c r="I169" s="26"/>
    </row>
    <row x14ac:dyDescent="0.25" r="170" customHeight="1" ht="18">
      <c r="A170" s="4"/>
      <c r="B170" s="4" t="s">
        <v>195</v>
      </c>
      <c r="C170" s="28" t="s">
        <v>254</v>
      </c>
      <c r="D170" s="6">
        <v>498</v>
      </c>
      <c r="E170" s="6"/>
      <c r="F170" s="25"/>
      <c r="G170" s="7"/>
      <c r="H170" s="4" t="s">
        <v>48</v>
      </c>
      <c r="I170" s="26"/>
    </row>
    <row x14ac:dyDescent="0.25" r="171" customHeight="1" ht="18">
      <c r="A171" s="4"/>
      <c r="B171" s="4"/>
      <c r="C171" s="28"/>
      <c r="D171" s="6"/>
      <c r="E171" s="6"/>
      <c r="F171" s="25"/>
      <c r="G171" s="7"/>
      <c r="H171" s="4"/>
      <c r="I171" s="26"/>
    </row>
    <row x14ac:dyDescent="0.25" r="172" customHeight="1" ht="18">
      <c r="A172" s="34" t="s">
        <v>255</v>
      </c>
      <c r="B172" s="4" t="s">
        <v>74</v>
      </c>
      <c r="C172" s="35" t="s">
        <v>256</v>
      </c>
      <c r="D172" s="6">
        <v>640</v>
      </c>
      <c r="E172" s="6">
        <v>2253</v>
      </c>
      <c r="F172" s="25">
        <v>105</v>
      </c>
      <c r="G172" s="7" t="s">
        <v>198</v>
      </c>
      <c r="H172" s="4" t="s">
        <v>46</v>
      </c>
      <c r="I172" s="26" t="s">
        <v>257</v>
      </c>
    </row>
    <row x14ac:dyDescent="0.25" r="173" customHeight="1" ht="18">
      <c r="A173" s="4"/>
      <c r="B173" s="4" t="s">
        <v>258</v>
      </c>
      <c r="C173" s="35" t="s">
        <v>259</v>
      </c>
      <c r="D173" s="6">
        <v>435</v>
      </c>
      <c r="E173" s="9" t="s">
        <v>6</v>
      </c>
      <c r="F173" s="25"/>
      <c r="G173" s="7"/>
      <c r="H173" s="4" t="s">
        <v>46</v>
      </c>
      <c r="I173" s="26"/>
    </row>
    <row x14ac:dyDescent="0.25" r="174" customHeight="1" ht="18">
      <c r="A174" s="4"/>
      <c r="B174" s="4" t="s">
        <v>77</v>
      </c>
      <c r="C174" s="35" t="s">
        <v>260</v>
      </c>
      <c r="D174" s="6">
        <v>575</v>
      </c>
      <c r="E174" s="6"/>
      <c r="F174" s="25"/>
      <c r="G174" s="7"/>
      <c r="H174" s="4" t="s">
        <v>46</v>
      </c>
      <c r="I174" s="26"/>
    </row>
    <row x14ac:dyDescent="0.25" r="175" customHeight="1" ht="18">
      <c r="A175" s="4"/>
      <c r="B175" s="4" t="s">
        <v>195</v>
      </c>
      <c r="C175" s="28" t="s">
        <v>254</v>
      </c>
      <c r="D175" s="6">
        <v>498</v>
      </c>
      <c r="E175" s="6"/>
      <c r="F175" s="25"/>
      <c r="G175" s="7"/>
      <c r="H175" s="4" t="s">
        <v>48</v>
      </c>
      <c r="I175" s="26"/>
    </row>
    <row x14ac:dyDescent="0.25" r="176" customHeight="1" ht="18">
      <c r="A176" s="4"/>
      <c r="B176" s="4"/>
      <c r="C176" s="28"/>
      <c r="D176" s="6"/>
      <c r="E176" s="6"/>
      <c r="F176" s="25"/>
      <c r="G176" s="7"/>
      <c r="H176" s="4"/>
      <c r="I176" s="26"/>
    </row>
    <row x14ac:dyDescent="0.25" r="177" customHeight="1" ht="18">
      <c r="A177" s="34" t="s">
        <v>261</v>
      </c>
      <c r="B177" s="4" t="s">
        <v>82</v>
      </c>
      <c r="C177" s="35" t="s">
        <v>262</v>
      </c>
      <c r="D177" s="6">
        <v>2690</v>
      </c>
      <c r="E177" s="6">
        <v>6040</v>
      </c>
      <c r="F177" s="25">
        <v>274</v>
      </c>
      <c r="G177" s="7" t="s">
        <v>205</v>
      </c>
      <c r="H177" s="4" t="s">
        <v>46</v>
      </c>
      <c r="I177" s="26"/>
    </row>
    <row x14ac:dyDescent="0.25" r="178" customHeight="1" ht="18">
      <c r="A178" s="4"/>
      <c r="B178" s="4" t="s">
        <v>85</v>
      </c>
      <c r="C178" s="35" t="s">
        <v>263</v>
      </c>
      <c r="D178" s="6">
        <v>2220</v>
      </c>
      <c r="E178" s="9" t="s">
        <v>6</v>
      </c>
      <c r="F178" s="25"/>
      <c r="G178" s="7"/>
      <c r="H178" s="4" t="s">
        <v>45</v>
      </c>
      <c r="I178" s="26"/>
    </row>
    <row x14ac:dyDescent="0.25" r="179" customHeight="1" ht="18">
      <c r="A179" s="4"/>
      <c r="B179" s="4" t="s">
        <v>103</v>
      </c>
      <c r="C179" s="35"/>
      <c r="D179" s="6">
        <v>40</v>
      </c>
      <c r="E179" s="6"/>
      <c r="F179" s="25"/>
      <c r="G179" s="7"/>
      <c r="H179" s="4" t="s">
        <v>46</v>
      </c>
      <c r="I179" s="26"/>
    </row>
    <row x14ac:dyDescent="0.25" r="180" customHeight="1" ht="18">
      <c r="A180" s="4"/>
      <c r="B180" s="4" t="s">
        <v>164</v>
      </c>
      <c r="C180" s="28" t="s">
        <v>264</v>
      </c>
      <c r="D180" s="6">
        <v>816</v>
      </c>
      <c r="E180" s="6"/>
      <c r="F180" s="25"/>
      <c r="G180" s="7"/>
      <c r="H180" s="4" t="s">
        <v>48</v>
      </c>
      <c r="I180" s="26"/>
    </row>
    <row x14ac:dyDescent="0.25" r="181" customHeight="1" ht="18">
      <c r="A181" s="4"/>
      <c r="B181" s="4"/>
      <c r="C181" s="28"/>
      <c r="D181" s="6"/>
      <c r="E181" s="6"/>
      <c r="F181" s="25"/>
      <c r="G181" s="7"/>
      <c r="H181" s="4"/>
      <c r="I181" s="26"/>
    </row>
    <row x14ac:dyDescent="0.25" r="182" customHeight="1" ht="18">
      <c r="A182" s="17"/>
      <c r="B182" s="17"/>
      <c r="C182" s="51"/>
      <c r="D182" s="19">
        <f>SUM(D2:D181)</f>
      </c>
      <c r="E182" s="19">
        <f>SUM(E2:E181)</f>
      </c>
      <c r="F182" s="20">
        <f>SUM(F2:F181)</f>
      </c>
      <c r="G182" s="21"/>
      <c r="H182" s="17"/>
      <c r="I182" s="2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14"/>
  <sheetViews>
    <sheetView workbookViewId="0"/>
  </sheetViews>
  <sheetFormatPr defaultRowHeight="15" x14ac:dyDescent="0.25"/>
  <cols>
    <col min="1" max="1" style="12" width="43.43357142857143" customWidth="1" bestFit="1"/>
    <col min="2" max="2" style="12" width="14.43357142857143" customWidth="1" bestFit="1"/>
    <col min="3" max="3" style="12" width="26.719285714285714" customWidth="1" bestFit="1"/>
    <col min="4" max="4" style="16" width="33.71928571428572" customWidth="1" bestFit="1"/>
  </cols>
  <sheetData>
    <row x14ac:dyDescent="0.25" r="1" customHeight="1" ht="35">
      <c r="A1" s="3" t="s">
        <v>33</v>
      </c>
      <c r="B1" s="1"/>
      <c r="C1" s="1"/>
      <c r="D1" s="14"/>
    </row>
    <row x14ac:dyDescent="0.25" r="2" customHeight="1" ht="18">
      <c r="A2" s="1"/>
      <c r="B2" s="1"/>
      <c r="C2" s="1"/>
      <c r="D2" s="14"/>
    </row>
    <row x14ac:dyDescent="0.25" r="3" customHeight="1" ht="27">
      <c r="A3" s="3" t="s">
        <v>34</v>
      </c>
      <c r="B3" s="1"/>
      <c r="C3" s="1"/>
      <c r="D3" s="14"/>
    </row>
    <row x14ac:dyDescent="0.25" r="4" customHeight="1" ht="27">
      <c r="A4" s="1"/>
      <c r="B4" s="1"/>
      <c r="C4" s="1"/>
      <c r="D4" s="14"/>
    </row>
    <row x14ac:dyDescent="0.25" r="5" customHeight="1" ht="27">
      <c r="A5" s="3" t="s">
        <v>35</v>
      </c>
      <c r="B5" s="1"/>
      <c r="C5" s="1"/>
      <c r="D5" s="14"/>
    </row>
    <row x14ac:dyDescent="0.25" r="6" customHeight="1" ht="27">
      <c r="A6" s="1"/>
      <c r="B6" s="1"/>
      <c r="C6" s="1"/>
      <c r="D6" s="14"/>
    </row>
    <row x14ac:dyDescent="0.25" r="7" customHeight="1" ht="18">
      <c r="A7" s="1"/>
      <c r="B7" s="1"/>
      <c r="C7" s="1"/>
      <c r="D7" s="14"/>
    </row>
    <row x14ac:dyDescent="0.25" r="8" customHeight="1" ht="18">
      <c r="A8" s="1"/>
      <c r="B8" s="4" t="s">
        <v>7</v>
      </c>
      <c r="C8" s="5" t="s">
        <v>8</v>
      </c>
      <c r="D8" s="6">
        <v>10515</v>
      </c>
    </row>
    <row x14ac:dyDescent="0.25" r="9" customHeight="1" ht="18">
      <c r="A9" s="1"/>
      <c r="B9" s="4" t="s">
        <v>7</v>
      </c>
      <c r="C9" s="8" t="s">
        <v>9</v>
      </c>
      <c r="D9" s="6">
        <v>2103</v>
      </c>
    </row>
    <row x14ac:dyDescent="0.25" r="10" customHeight="1" ht="18">
      <c r="A10" s="1"/>
      <c r="B10" s="4" t="s">
        <v>10</v>
      </c>
      <c r="C10" s="5" t="s">
        <v>11</v>
      </c>
      <c r="D10" s="6">
        <v>73440</v>
      </c>
    </row>
    <row x14ac:dyDescent="0.25" r="11" customHeight="1" ht="18">
      <c r="A11" s="1"/>
      <c r="B11" s="1"/>
      <c r="C11" s="1"/>
      <c r="D11" s="14"/>
    </row>
    <row x14ac:dyDescent="0.25" r="12" customHeight="1" ht="18">
      <c r="A12" s="1"/>
      <c r="B12" s="1"/>
      <c r="C12" s="1"/>
      <c r="D12" s="14"/>
    </row>
    <row x14ac:dyDescent="0.25" r="13" customHeight="1" ht="18">
      <c r="A13" s="1"/>
      <c r="B13" s="1"/>
      <c r="C13" s="1"/>
      <c r="D13" s="14"/>
    </row>
    <row x14ac:dyDescent="0.25" r="14" customHeight="1" ht="18">
      <c r="A14" s="1"/>
      <c r="B14" s="1"/>
      <c r="C14" s="3" t="s">
        <v>36</v>
      </c>
      <c r="D14" s="15">
        <f>SUM(D8:D13)</f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27"/>
  <sheetViews>
    <sheetView workbookViewId="0"/>
  </sheetViews>
  <sheetFormatPr defaultRowHeight="15" x14ac:dyDescent="0.25"/>
  <cols>
    <col min="1" max="1" style="12" width="13.005" customWidth="1" bestFit="1"/>
    <col min="2" max="2" style="12" width="24.433571428571426" customWidth="1" bestFit="1"/>
    <col min="3" max="3" style="12" width="24.290714285714284" customWidth="1" bestFit="1"/>
    <col min="4" max="4" style="13" width="13.147857142857141" customWidth="1" bestFit="1"/>
    <col min="5" max="5" style="12" width="13.005" customWidth="1" bestFit="1"/>
  </cols>
  <sheetData>
    <row x14ac:dyDescent="0.25" r="1" customHeight="1" ht="18">
      <c r="A1" s="1"/>
      <c r="B1" s="1"/>
      <c r="C1" s="1"/>
      <c r="D1" s="2"/>
      <c r="E1" s="1"/>
    </row>
    <row x14ac:dyDescent="0.25" r="2" customHeight="1" ht="18">
      <c r="A2" s="1"/>
      <c r="B2" s="3" t="s">
        <v>0</v>
      </c>
      <c r="C2" s="1"/>
      <c r="D2" s="2"/>
      <c r="E2" s="1"/>
    </row>
    <row x14ac:dyDescent="0.25" r="3" customHeight="1" ht="18">
      <c r="A3" s="1"/>
      <c r="B3" s="3" t="s">
        <v>1</v>
      </c>
      <c r="C3" s="1"/>
      <c r="D3" s="2"/>
      <c r="E3" s="1"/>
    </row>
    <row x14ac:dyDescent="0.25" r="4" customHeight="1" ht="18">
      <c r="A4" s="1"/>
      <c r="B4" s="1"/>
      <c r="C4" s="1"/>
      <c r="D4" s="2"/>
      <c r="E4" s="1"/>
    </row>
    <row x14ac:dyDescent="0.25" r="5" customHeight="1" ht="18">
      <c r="A5" s="1"/>
      <c r="B5" s="1"/>
      <c r="C5" s="1"/>
      <c r="D5" s="2"/>
      <c r="E5" s="1"/>
    </row>
    <row x14ac:dyDescent="0.25" r="6" customHeight="1" ht="18">
      <c r="A6" s="1"/>
      <c r="B6" s="1"/>
      <c r="C6" s="1"/>
      <c r="D6" s="2"/>
      <c r="E6" s="1"/>
    </row>
    <row x14ac:dyDescent="0.25" r="7" customHeight="1" ht="18">
      <c r="A7" s="1"/>
      <c r="B7" s="4" t="s">
        <v>2</v>
      </c>
      <c r="C7" s="5" t="s">
        <v>3</v>
      </c>
      <c r="D7" s="6">
        <v>119820</v>
      </c>
      <c r="E7" s="7" t="s">
        <v>4</v>
      </c>
    </row>
    <row x14ac:dyDescent="0.25" r="8" customHeight="1" ht="18">
      <c r="A8" s="1"/>
      <c r="B8" s="4" t="s">
        <v>2</v>
      </c>
      <c r="C8" s="8" t="s">
        <v>5</v>
      </c>
      <c r="D8" s="9" t="s">
        <v>6</v>
      </c>
      <c r="E8" s="7"/>
    </row>
    <row x14ac:dyDescent="0.25" r="9" customHeight="1" ht="18">
      <c r="A9" s="1"/>
      <c r="B9" s="4" t="s">
        <v>7</v>
      </c>
      <c r="C9" s="5" t="s">
        <v>8</v>
      </c>
      <c r="D9" s="6"/>
      <c r="E9" s="7"/>
    </row>
    <row x14ac:dyDescent="0.25" r="10" customHeight="1" ht="18">
      <c r="A10" s="1"/>
      <c r="B10" s="4" t="s">
        <v>7</v>
      </c>
      <c r="C10" s="8" t="s">
        <v>9</v>
      </c>
      <c r="D10" s="6"/>
      <c r="E10" s="7"/>
    </row>
    <row x14ac:dyDescent="0.25" r="11" customHeight="1" ht="18">
      <c r="A11" s="1"/>
      <c r="B11" s="4" t="s">
        <v>10</v>
      </c>
      <c r="C11" s="5" t="s">
        <v>11</v>
      </c>
      <c r="D11" s="6"/>
      <c r="E11" s="7"/>
    </row>
    <row x14ac:dyDescent="0.25" r="12" customHeight="1" ht="18">
      <c r="A12" s="1"/>
      <c r="B12" s="4"/>
      <c r="C12" s="4"/>
      <c r="D12" s="6"/>
      <c r="E12" s="7" t="s">
        <v>6</v>
      </c>
    </row>
    <row x14ac:dyDescent="0.25" r="13" customHeight="1" ht="18">
      <c r="A13" s="1"/>
      <c r="B13" s="4" t="s">
        <v>12</v>
      </c>
      <c r="C13" s="5" t="s">
        <v>13</v>
      </c>
      <c r="D13" s="10">
        <v>21613</v>
      </c>
      <c r="E13" s="7" t="s">
        <v>14</v>
      </c>
    </row>
    <row x14ac:dyDescent="0.25" r="14" customHeight="1" ht="18">
      <c r="A14" s="1"/>
      <c r="B14" s="4" t="s">
        <v>15</v>
      </c>
      <c r="C14" s="5" t="s">
        <v>16</v>
      </c>
      <c r="D14" s="9" t="s">
        <v>6</v>
      </c>
      <c r="E14" s="7"/>
    </row>
    <row x14ac:dyDescent="0.25" r="15" customHeight="1" ht="18">
      <c r="A15" s="1"/>
      <c r="B15" s="4" t="s">
        <v>10</v>
      </c>
      <c r="C15" s="5" t="s">
        <v>17</v>
      </c>
      <c r="D15" s="6"/>
      <c r="E15" s="7"/>
    </row>
    <row x14ac:dyDescent="0.25" r="16" customHeight="1" ht="18">
      <c r="A16" s="1"/>
      <c r="B16" s="4" t="s">
        <v>18</v>
      </c>
      <c r="C16" s="4"/>
      <c r="D16" s="6"/>
      <c r="E16" s="7"/>
    </row>
    <row x14ac:dyDescent="0.25" r="17" customHeight="1" ht="18">
      <c r="A17" s="1"/>
      <c r="B17" s="4"/>
      <c r="C17" s="4"/>
      <c r="D17" s="6"/>
      <c r="E17" s="7"/>
    </row>
    <row x14ac:dyDescent="0.25" r="18" customHeight="1" ht="18">
      <c r="A18" s="1"/>
      <c r="B18" s="4" t="s">
        <v>19</v>
      </c>
      <c r="C18" s="11" t="s">
        <v>20</v>
      </c>
      <c r="D18" s="6"/>
      <c r="E18" s="7"/>
    </row>
    <row x14ac:dyDescent="0.25" r="19" customHeight="1" ht="18">
      <c r="A19" s="1"/>
      <c r="B19" s="4" t="s">
        <v>19</v>
      </c>
      <c r="C19" s="11" t="s">
        <v>21</v>
      </c>
      <c r="D19" s="6"/>
      <c r="E19" s="7"/>
    </row>
    <row x14ac:dyDescent="0.25" r="20" customHeight="1" ht="18">
      <c r="A20" s="1"/>
      <c r="B20" s="4"/>
      <c r="C20" s="4"/>
      <c r="D20" s="6"/>
      <c r="E20" s="7"/>
    </row>
    <row x14ac:dyDescent="0.25" r="21" customHeight="1" ht="18">
      <c r="A21" s="1"/>
      <c r="B21" s="4"/>
      <c r="C21" s="4"/>
      <c r="D21" s="6"/>
      <c r="E21" s="7"/>
    </row>
    <row x14ac:dyDescent="0.25" r="22" customHeight="1" ht="18">
      <c r="A22" s="1"/>
      <c r="B22" s="4" t="s">
        <v>22</v>
      </c>
      <c r="C22" s="5" t="s">
        <v>23</v>
      </c>
      <c r="D22" s="6">
        <v>26285</v>
      </c>
      <c r="E22" s="7" t="s">
        <v>24</v>
      </c>
    </row>
    <row x14ac:dyDescent="0.25" r="23" customHeight="1" ht="18">
      <c r="A23" s="1"/>
      <c r="B23" s="4" t="s">
        <v>25</v>
      </c>
      <c r="C23" s="5" t="s">
        <v>26</v>
      </c>
      <c r="D23" s="9" t="s">
        <v>6</v>
      </c>
      <c r="E23" s="7"/>
    </row>
    <row x14ac:dyDescent="0.25" r="24" customHeight="1" ht="18">
      <c r="A24" s="1"/>
      <c r="B24" s="4" t="s">
        <v>27</v>
      </c>
      <c r="C24" s="8" t="s">
        <v>28</v>
      </c>
      <c r="D24" s="6"/>
      <c r="E24" s="7"/>
    </row>
    <row x14ac:dyDescent="0.25" r="25" customHeight="1" ht="18">
      <c r="A25" s="1"/>
      <c r="B25" s="4" t="s">
        <v>29</v>
      </c>
      <c r="C25" s="4" t="s">
        <v>30</v>
      </c>
      <c r="D25" s="9" t="s">
        <v>6</v>
      </c>
      <c r="E25" s="7"/>
    </row>
    <row x14ac:dyDescent="0.25" r="26" customHeight="1" ht="18">
      <c r="A26" s="1"/>
      <c r="B26" s="4" t="s">
        <v>31</v>
      </c>
      <c r="C26" s="4"/>
      <c r="D26" s="6">
        <v>18040</v>
      </c>
      <c r="E26" s="7"/>
    </row>
    <row x14ac:dyDescent="0.25" r="27" customHeight="1" ht="18">
      <c r="A27" s="1"/>
      <c r="B27" s="4" t="s">
        <v>32</v>
      </c>
      <c r="C27" s="4"/>
      <c r="D27" s="10">
        <v>25690</v>
      </c>
      <c r="E27" s="7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3</vt:i4>
      </vt:variant>
    </vt:vector>
  </HeadingPairs>
  <TitlesOfParts>
    <vt:vector baseType="lpstr" size="3">
      <vt:lpstr>月报表</vt:lpstr>
      <vt:lpstr>我欠外面的钱</vt:lpstr>
      <vt:lpstr>客户欠我的钱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2026-01-28T06:05:03.210Z</dcterms:created>
  <dcterms:modified xsi:type="dcterms:W3CDTF">2026-01-28T06:05:03.210Z</dcterms:modified>
</cp:coreProperties>
</file>